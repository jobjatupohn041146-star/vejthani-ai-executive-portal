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Project Portfolio" sheetId="2" state="visible" r:id="rId2"/>
    <sheet xmlns:r="http://schemas.openxmlformats.org/officeDocument/2006/relationships" name="Build Briefs" sheetId="3" state="visible" r:id="rId3"/>
    <sheet xmlns:r="http://schemas.openxmlformats.org/officeDocument/2006/relationships" name="ROI Calculator" sheetId="4" state="visible" r:id="rId4"/>
    <sheet xmlns:r="http://schemas.openxmlformats.org/officeDocument/2006/relationships" name="Workshop Roadmap" sheetId="5" state="visible" r:id="rId5"/>
    <sheet xmlns:r="http://schemas.openxmlformats.org/officeDocument/2006/relationships" name="Safety Governance" sheetId="6" state="visible" r:id="rId6"/>
    <sheet xmlns:r="http://schemas.openxmlformats.org/officeDocument/2006/relationships" name="Sources" sheetId="7" state="visible" r:id="rId7"/>
  </sheets>
  <definedNames>
    <definedName name="_xlnm._FilterDatabase" localSheetId="1" hidden="1">'Project Portfolio'!$B$6:$R$23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"/>
    <numFmt numFmtId="166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D9EAF7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A6A6"/>
      <sz val="22"/>
    </font>
    <font>
      <name val="Calibri"/>
      <b val="1"/>
      <color rgb="001F4E78"/>
      <sz val="22"/>
    </font>
    <font>
      <name val="Calibri"/>
      <b val="1"/>
      <color rgb="007030A0"/>
      <sz val="22"/>
    </font>
    <font>
      <name val="Calibri"/>
      <b val="1"/>
      <color rgb="00548235"/>
      <sz val="22"/>
    </font>
    <font>
      <name val="Calibri"/>
      <b val="1"/>
      <color rgb="001F4E78"/>
      <sz val="10"/>
    </font>
    <font>
      <name val="Calibri"/>
      <color rgb="001F1F1F"/>
      <sz val="10"/>
    </font>
    <font>
      <name val="Calibri"/>
      <color rgb="000000FF"/>
      <sz val="10"/>
      <u val="single"/>
    </font>
    <font>
      <name val="Calibri"/>
      <color rgb="000000FF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00A6A6"/>
      </patternFill>
    </fill>
    <fill>
      <patternFill patternType="solid">
        <fgColor rgb="00F7FBFF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/>
      <top style="thin">
        <color rgb="00D9E1F2"/>
      </top>
      <bottom style="thin">
        <color rgb="00D9E1F2"/>
      </bottom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0" fontId="1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10" fillId="8" borderId="1" applyAlignment="1" pivotButton="0" quotePrefix="0" xfId="0">
      <alignment vertical="top" wrapText="1"/>
    </xf>
    <xf numFmtId="165" fontId="10" fillId="8" borderId="1" applyAlignment="1" pivotButton="0" quotePrefix="0" xfId="0">
      <alignment vertical="top" wrapText="1"/>
    </xf>
    <xf numFmtId="164" fontId="10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166" fontId="1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Perplexity</author>
  </authors>
  <commentList>
    <comment ref="K7" authorId="0" shapeId="0">
      <text>
        <t>ค่าประเมินเริ่มต้น 1-5 สามารถปรับได้ระหว่าง workshop</t>
      </text>
    </comment>
    <comment ref="L7" authorId="0" shapeId="0">
      <text>
        <t>ค่าประเมินเริ่มต้น 1-5 สามารถปรับได้ระหว่าง workshop</t>
      </text>
    </comment>
    <comment ref="M7" authorId="0" shapeId="0">
      <text>
        <t>ค่าประเมินเริ่มต้น 1-5 สามารถปรับได้ระหว่าง workshop</t>
      </text>
    </comment>
    <comment ref="K8" authorId="0" shapeId="0">
      <text>
        <t>ค่าประเมินเริ่มต้น 1-5 สามารถปรับได้ระหว่าง workshop</t>
      </text>
    </comment>
    <comment ref="L8" authorId="0" shapeId="0">
      <text>
        <t>ค่าประเมินเริ่มต้น 1-5 สามารถปรับได้ระหว่าง workshop</t>
      </text>
    </comment>
    <comment ref="M8" authorId="0" shapeId="0">
      <text>
        <t>ค่าประเมินเริ่มต้น 1-5 สามารถปรับได้ระหว่าง workshop</t>
      </text>
    </comment>
    <comment ref="K9" authorId="0" shapeId="0">
      <text>
        <t>ค่าประเมินเริ่มต้น 1-5 สามารถปรับได้ระหว่าง workshop</t>
      </text>
    </comment>
    <comment ref="L9" authorId="0" shapeId="0">
      <text>
        <t>ค่าประเมินเริ่มต้น 1-5 สามารถปรับได้ระหว่าง workshop</t>
      </text>
    </comment>
    <comment ref="M9" authorId="0" shapeId="0">
      <text>
        <t>ค่าประเมินเริ่มต้น 1-5 สามารถปรับได้ระหว่าง workshop</t>
      </text>
    </comment>
    <comment ref="K10" authorId="0" shapeId="0">
      <text>
        <t>ค่าประเมินเริ่มต้น 1-5 สามารถปรับได้ระหว่าง workshop</t>
      </text>
    </comment>
    <comment ref="L10" authorId="0" shapeId="0">
      <text>
        <t>ค่าประเมินเริ่มต้น 1-5 สามารถปรับได้ระหว่าง workshop</t>
      </text>
    </comment>
    <comment ref="M10" authorId="0" shapeId="0">
      <text>
        <t>ค่าประเมินเริ่มต้น 1-5 สามารถปรับได้ระหว่าง workshop</t>
      </text>
    </comment>
    <comment ref="K11" authorId="0" shapeId="0">
      <text>
        <t>ค่าประเมินเริ่มต้น 1-5 สามารถปรับได้ระหว่าง workshop</t>
      </text>
    </comment>
    <comment ref="L11" authorId="0" shapeId="0">
      <text>
        <t>ค่าประเมินเริ่มต้น 1-5 สามารถปรับได้ระหว่าง workshop</t>
      </text>
    </comment>
    <comment ref="M11" authorId="0" shapeId="0">
      <text>
        <t>ค่าประเมินเริ่มต้น 1-5 สามารถปรับได้ระหว่าง workshop</t>
      </text>
    </comment>
    <comment ref="K12" authorId="0" shapeId="0">
      <text>
        <t>ค่าประเมินเริ่มต้น 1-5 สามารถปรับได้ระหว่าง workshop</t>
      </text>
    </comment>
    <comment ref="L12" authorId="0" shapeId="0">
      <text>
        <t>ค่าประเมินเริ่มต้น 1-5 สามารถปรับได้ระหว่าง workshop</t>
      </text>
    </comment>
    <comment ref="M12" authorId="0" shapeId="0">
      <text>
        <t>ค่าประเมินเริ่มต้น 1-5 สามารถปรับได้ระหว่าง workshop</t>
      </text>
    </comment>
    <comment ref="K13" authorId="0" shapeId="0">
      <text>
        <t>ค่าประเมินเริ่มต้น 1-5 สามารถปรับได้ระหว่าง workshop</t>
      </text>
    </comment>
    <comment ref="L13" authorId="0" shapeId="0">
      <text>
        <t>ค่าประเมินเริ่มต้น 1-5 สามารถปรับได้ระหว่าง workshop</t>
      </text>
    </comment>
    <comment ref="M13" authorId="0" shapeId="0">
      <text>
        <t>ค่าประเมินเริ่มต้น 1-5 สามารถปรับได้ระหว่าง workshop</t>
      </text>
    </comment>
    <comment ref="K14" authorId="0" shapeId="0">
      <text>
        <t>ค่าประเมินเริ่มต้น 1-5 สามารถปรับได้ระหว่าง workshop</t>
      </text>
    </comment>
    <comment ref="L14" authorId="0" shapeId="0">
      <text>
        <t>ค่าประเมินเริ่มต้น 1-5 สามารถปรับได้ระหว่าง workshop</t>
      </text>
    </comment>
    <comment ref="M14" authorId="0" shapeId="0">
      <text>
        <t>ค่าประเมินเริ่มต้น 1-5 สามารถปรับได้ระหว่าง workshop</t>
      </text>
    </comment>
    <comment ref="K15" authorId="0" shapeId="0">
      <text>
        <t>ค่าประเมินเริ่มต้น 1-5 สามารถปรับได้ระหว่าง workshop</t>
      </text>
    </comment>
    <comment ref="L15" authorId="0" shapeId="0">
      <text>
        <t>ค่าประเมินเริ่มต้น 1-5 สามารถปรับได้ระหว่าง workshop</t>
      </text>
    </comment>
    <comment ref="M15" authorId="0" shapeId="0">
      <text>
        <t>ค่าประเมินเริ่มต้น 1-5 สามารถปรับได้ระหว่าง workshop</t>
      </text>
    </comment>
    <comment ref="K16" authorId="0" shapeId="0">
      <text>
        <t>ค่าประเมินเริ่มต้น 1-5 สามารถปรับได้ระหว่าง workshop</t>
      </text>
    </comment>
    <comment ref="L16" authorId="0" shapeId="0">
      <text>
        <t>ค่าประเมินเริ่มต้น 1-5 สามารถปรับได้ระหว่าง workshop</t>
      </text>
    </comment>
    <comment ref="M16" authorId="0" shapeId="0">
      <text>
        <t>ค่าประเมินเริ่มต้น 1-5 สามารถปรับได้ระหว่าง workshop</t>
      </text>
    </comment>
    <comment ref="K17" authorId="0" shapeId="0">
      <text>
        <t>ค่าประเมินเริ่มต้น 1-5 สามารถปรับได้ระหว่าง workshop</t>
      </text>
    </comment>
    <comment ref="L17" authorId="0" shapeId="0">
      <text>
        <t>ค่าประเมินเริ่มต้น 1-5 สามารถปรับได้ระหว่าง workshop</t>
      </text>
    </comment>
    <comment ref="M17" authorId="0" shapeId="0">
      <text>
        <t>ค่าประเมินเริ่มต้น 1-5 สามารถปรับได้ระหว่าง workshop</t>
      </text>
    </comment>
    <comment ref="K18" authorId="0" shapeId="0">
      <text>
        <t>ค่าประเมินเริ่มต้น 1-5 สามารถปรับได้ระหว่าง workshop</t>
      </text>
    </comment>
    <comment ref="L18" authorId="0" shapeId="0">
      <text>
        <t>ค่าประเมินเริ่มต้น 1-5 สามารถปรับได้ระหว่าง workshop</t>
      </text>
    </comment>
    <comment ref="M18" authorId="0" shapeId="0">
      <text>
        <t>ค่าประเมินเริ่มต้น 1-5 สามารถปรับได้ระหว่าง workshop</t>
      </text>
    </comment>
    <comment ref="K19" authorId="0" shapeId="0">
      <text>
        <t>ค่าประเมินเริ่มต้น 1-5 สามารถปรับได้ระหว่าง workshop</t>
      </text>
    </comment>
    <comment ref="L19" authorId="0" shapeId="0">
      <text>
        <t>ค่าประเมินเริ่มต้น 1-5 สามารถปรับได้ระหว่าง workshop</t>
      </text>
    </comment>
    <comment ref="M19" authorId="0" shapeId="0">
      <text>
        <t>ค่าประเมินเริ่มต้น 1-5 สามารถปรับได้ระหว่าง workshop</t>
      </text>
    </comment>
    <comment ref="K20" authorId="0" shapeId="0">
      <text>
        <t>ค่าประเมินเริ่มต้น 1-5 สามารถปรับได้ระหว่าง workshop</t>
      </text>
    </comment>
    <comment ref="L20" authorId="0" shapeId="0">
      <text>
        <t>ค่าประเมินเริ่มต้น 1-5 สามารถปรับได้ระหว่าง workshop</t>
      </text>
    </comment>
    <comment ref="M20" authorId="0" shapeId="0">
      <text>
        <t>ค่าประเมินเริ่มต้น 1-5 สามารถปรับได้ระหว่าง workshop</t>
      </text>
    </comment>
    <comment ref="K21" authorId="0" shapeId="0">
      <text>
        <t>ค่าประเมินเริ่มต้น 1-5 สามารถปรับได้ระหว่าง workshop</t>
      </text>
    </comment>
    <comment ref="L21" authorId="0" shapeId="0">
      <text>
        <t>ค่าประเมินเริ่มต้น 1-5 สามารถปรับได้ระหว่าง workshop</t>
      </text>
    </comment>
    <comment ref="M21" authorId="0" shapeId="0">
      <text>
        <t>ค่าประเมินเริ่มต้น 1-5 สามารถปรับได้ระหว่าง workshop</t>
      </text>
    </comment>
    <comment ref="K22" authorId="0" shapeId="0">
      <text>
        <t>ค่าประเมินเริ่มต้น 1-5 สามารถปรับได้ระหว่าง workshop</t>
      </text>
    </comment>
    <comment ref="L22" authorId="0" shapeId="0">
      <text>
        <t>ค่าประเมินเริ่มต้น 1-5 สามารถปรับได้ระหว่าง workshop</t>
      </text>
    </comment>
    <comment ref="M22" authorId="0" shapeId="0">
      <text>
        <t>ค่าประเมินเริ่มต้น 1-5 สามารถปรับได้ระหว่าง workshop</t>
      </text>
    </comment>
    <comment ref="K23" authorId="0" shapeId="0">
      <text>
        <t>ค่าประเมินเริ่มต้น 1-5 สามารถปรับได้ระหว่าง workshop</t>
      </text>
    </comment>
    <comment ref="L23" authorId="0" shapeId="0">
      <text>
        <t>ค่าประเมินเริ่มต้น 1-5 สามารถปรับได้ระหว่าง workshop</t>
      </text>
    </comment>
    <comment ref="M23" authorId="0" shapeId="0">
      <text>
        <t>ค่าประเมินเริ่มต้น 1-5 สามารถปรับได้ระหว่าง workshop</t>
      </text>
    </comment>
  </commentList>
</comments>
</file>

<file path=xl/comments/comment2.xml><?xml version="1.0" encoding="utf-8"?>
<comments xmlns="http://schemas.openxmlformats.org/spreadsheetml/2006/main">
  <authors>
    <author>Perplexity</author>
  </authors>
  <commentList>
    <comment ref="E7" authorId="0" shapeId="0">
      <text>
        <t>กรอกสมมติฐานที่ได้รับการยืนยันจากเจ้าของกระบวนการ/Finance</t>
      </text>
    </comment>
    <comment ref="F7" authorId="0" shapeId="0">
      <text>
        <t>กรอกสมมติฐานที่ได้รับการยืนยันจากเจ้าของกระบวนการ/Finance</t>
      </text>
    </comment>
    <comment ref="G7" authorId="0" shapeId="0">
      <text>
        <t>กรอกสมมติฐานที่ได้รับการยืนยันจากเจ้าของกระบวนการ/Finance</t>
      </text>
    </comment>
    <comment ref="H7" authorId="0" shapeId="0">
      <text>
        <t>กรอกสมมติฐานที่ได้รับการยืนยันจากเจ้าของกระบวนการ/Finance</t>
      </text>
    </comment>
    <comment ref="I7" authorId="0" shapeId="0">
      <text>
        <t>กรอกสมมติฐานที่ได้รับการยืนยันจากเจ้าของกระบวนการ/Finance</t>
      </text>
    </comment>
    <comment ref="J7" authorId="0" shapeId="0">
      <text>
        <t>กรอกสมมติฐานที่ได้รับการยืนยันจากเจ้าของกระบวนการ/Finance</t>
      </text>
    </comment>
    <comment ref="K7" authorId="0" shapeId="0">
      <text>
        <t>กรอกสมมติฐานที่ได้รับการยืนยันจากเจ้าของกระบวนการ/Finance</t>
      </text>
    </comment>
    <comment ref="L7" authorId="0" shapeId="0">
      <text>
        <t>กรอกสมมติฐานที่ได้รับการยืนยันจากเจ้าของกระบวนการ/Finance</t>
      </text>
    </comment>
    <comment ref="E8" authorId="0" shapeId="0">
      <text>
        <t>กรอกสมมติฐานที่ได้รับการยืนยันจากเจ้าของกระบวนการ/Finance</t>
      </text>
    </comment>
    <comment ref="F8" authorId="0" shapeId="0">
      <text>
        <t>กรอกสมมติฐานที่ได้รับการยืนยันจากเจ้าของกระบวนการ/Finance</t>
      </text>
    </comment>
    <comment ref="G8" authorId="0" shapeId="0">
      <text>
        <t>กรอกสมมติฐานที่ได้รับการยืนยันจากเจ้าของกระบวนการ/Finance</t>
      </text>
    </comment>
    <comment ref="H8" authorId="0" shapeId="0">
      <text>
        <t>กรอกสมมติฐานที่ได้รับการยืนยันจากเจ้าของกระบวนการ/Finance</t>
      </text>
    </comment>
    <comment ref="I8" authorId="0" shapeId="0">
      <text>
        <t>กรอกสมมติฐานที่ได้รับการยืนยันจากเจ้าของกระบวนการ/Finance</t>
      </text>
    </comment>
    <comment ref="J8" authorId="0" shapeId="0">
      <text>
        <t>กรอกสมมติฐานที่ได้รับการยืนยันจากเจ้าของกระบวนการ/Finance</t>
      </text>
    </comment>
    <comment ref="K8" authorId="0" shapeId="0">
      <text>
        <t>กรอกสมมติฐานที่ได้รับการยืนยันจากเจ้าของกระบวนการ/Finance</t>
      </text>
    </comment>
    <comment ref="L8" authorId="0" shapeId="0">
      <text>
        <t>กรอกสมมติฐานที่ได้รับการยืนยันจากเจ้าของกระบวนการ/Finance</t>
      </text>
    </comment>
    <comment ref="E9" authorId="0" shapeId="0">
      <text>
        <t>กรอกสมมติฐานที่ได้รับการยืนยันจากเจ้าของกระบวนการ/Finance</t>
      </text>
    </comment>
    <comment ref="F9" authorId="0" shapeId="0">
      <text>
        <t>กรอกสมมติฐานที่ได้รับการยืนยันจากเจ้าของกระบวนการ/Finance</t>
      </text>
    </comment>
    <comment ref="G9" authorId="0" shapeId="0">
      <text>
        <t>กรอกสมมติฐานที่ได้รับการยืนยันจากเจ้าของกระบวนการ/Finance</t>
      </text>
    </comment>
    <comment ref="H9" authorId="0" shapeId="0">
      <text>
        <t>กรอกสมมติฐานที่ได้รับการยืนยันจากเจ้าของกระบวนการ/Finance</t>
      </text>
    </comment>
    <comment ref="I9" authorId="0" shapeId="0">
      <text>
        <t>กรอกสมมติฐานที่ได้รับการยืนยันจากเจ้าของกระบวนการ/Finance</t>
      </text>
    </comment>
    <comment ref="J9" authorId="0" shapeId="0">
      <text>
        <t>กรอกสมมติฐานที่ได้รับการยืนยันจากเจ้าของกระบวนการ/Finance</t>
      </text>
    </comment>
    <comment ref="K9" authorId="0" shapeId="0">
      <text>
        <t>กรอกสมมติฐานที่ได้รับการยืนยันจากเจ้าของกระบวนการ/Finance</t>
      </text>
    </comment>
    <comment ref="L9" authorId="0" shapeId="0">
      <text>
        <t>กรอกสมมติฐานที่ได้รับการยืนยันจากเจ้าของกระบวนการ/Finance</t>
      </text>
    </comment>
    <comment ref="E10" authorId="0" shapeId="0">
      <text>
        <t>กรอกสมมติฐานที่ได้รับการยืนยันจากเจ้าของกระบวนการ/Finance</t>
      </text>
    </comment>
    <comment ref="F10" authorId="0" shapeId="0">
      <text>
        <t>กรอกสมมติฐานที่ได้รับการยืนยันจากเจ้าของกระบวนการ/Finance</t>
      </text>
    </comment>
    <comment ref="G10" authorId="0" shapeId="0">
      <text>
        <t>กรอกสมมติฐานที่ได้รับการยืนยันจากเจ้าของกระบวนการ/Finance</t>
      </text>
    </comment>
    <comment ref="H10" authorId="0" shapeId="0">
      <text>
        <t>กรอกสมมติฐานที่ได้รับการยืนยันจากเจ้าของกระบวนการ/Finance</t>
      </text>
    </comment>
    <comment ref="I10" authorId="0" shapeId="0">
      <text>
        <t>กรอกสมมติฐานที่ได้รับการยืนยันจากเจ้าของกระบวนการ/Finance</t>
      </text>
    </comment>
    <comment ref="J10" authorId="0" shapeId="0">
      <text>
        <t>กรอกสมมติฐานที่ได้รับการยืนยันจากเจ้าของกระบวนการ/Finance</t>
      </text>
    </comment>
    <comment ref="K10" authorId="0" shapeId="0">
      <text>
        <t>กรอกสมมติฐานที่ได้รับการยืนยันจากเจ้าของกระบวนการ/Finance</t>
      </text>
    </comment>
    <comment ref="L10" authorId="0" shapeId="0">
      <text>
        <t>กรอกสมมติฐานที่ได้รับการยืนยันจากเจ้าของกระบวนการ/Finance</t>
      </text>
    </comment>
    <comment ref="E11" authorId="0" shapeId="0">
      <text>
        <t>กรอกสมมติฐานที่ได้รับการยืนยันจากเจ้าของกระบวนการ/Finance</t>
      </text>
    </comment>
    <comment ref="F11" authorId="0" shapeId="0">
      <text>
        <t>กรอกสมมติฐานที่ได้รับการยืนยันจากเจ้าของกระบวนการ/Finance</t>
      </text>
    </comment>
    <comment ref="G11" authorId="0" shapeId="0">
      <text>
        <t>กรอกสมมติฐานที่ได้รับการยืนยันจากเจ้าของกระบวนการ/Finance</t>
      </text>
    </comment>
    <comment ref="H11" authorId="0" shapeId="0">
      <text>
        <t>กรอกสมมติฐานที่ได้รับการยืนยันจากเจ้าของกระบวนการ/Finance</t>
      </text>
    </comment>
    <comment ref="I11" authorId="0" shapeId="0">
      <text>
        <t>กรอกสมมติฐานที่ได้รับการยืนยันจากเจ้าของกระบวนการ/Finance</t>
      </text>
    </comment>
    <comment ref="J11" authorId="0" shapeId="0">
      <text>
        <t>กรอกสมมติฐานที่ได้รับการยืนยันจากเจ้าของกระบวนการ/Finance</t>
      </text>
    </comment>
    <comment ref="K11" authorId="0" shapeId="0">
      <text>
        <t>กรอกสมมติฐานที่ได้รับการยืนยันจากเจ้าของกระบวนการ/Finance</t>
      </text>
    </comment>
    <comment ref="L11" authorId="0" shapeId="0">
      <text>
        <t>กรอกสมมติฐานที่ได้รับการยืนยันจากเจ้าของกระบวนการ/Finance</t>
      </text>
    </comment>
    <comment ref="E12" authorId="0" shapeId="0">
      <text>
        <t>กรอกสมมติฐานที่ได้รับการยืนยันจากเจ้าของกระบวนการ/Finance</t>
      </text>
    </comment>
    <comment ref="F12" authorId="0" shapeId="0">
      <text>
        <t>กรอกสมมติฐานที่ได้รับการยืนยันจากเจ้าของกระบวนการ/Finance</t>
      </text>
    </comment>
    <comment ref="G12" authorId="0" shapeId="0">
      <text>
        <t>กรอกสมมติฐานที่ได้รับการยืนยันจากเจ้าของกระบวนการ/Finance</t>
      </text>
    </comment>
    <comment ref="H12" authorId="0" shapeId="0">
      <text>
        <t>กรอกสมมติฐานที่ได้รับการยืนยันจากเจ้าของกระบวนการ/Finance</t>
      </text>
    </comment>
    <comment ref="I12" authorId="0" shapeId="0">
      <text>
        <t>กรอกสมมติฐานที่ได้รับการยืนยันจากเจ้าของกระบวนการ/Finance</t>
      </text>
    </comment>
    <comment ref="J12" authorId="0" shapeId="0">
      <text>
        <t>กรอกสมมติฐานที่ได้รับการยืนยันจากเจ้าของกระบวนการ/Finance</t>
      </text>
    </comment>
    <comment ref="K12" authorId="0" shapeId="0">
      <text>
        <t>กรอกสมมติฐานที่ได้รับการยืนยันจากเจ้าของกระบวนการ/Finance</t>
      </text>
    </comment>
    <comment ref="L12" authorId="0" shapeId="0">
      <text>
        <t>กรอกสมมติฐานที่ได้รับการยืนยันจากเจ้าของกระบวนการ/Finance</t>
      </text>
    </comment>
    <comment ref="E13" authorId="0" shapeId="0">
      <text>
        <t>กรอกสมมติฐานที่ได้รับการยืนยันจากเจ้าของกระบวนการ/Finance</t>
      </text>
    </comment>
    <comment ref="F13" authorId="0" shapeId="0">
      <text>
        <t>กรอกสมมติฐานที่ได้รับการยืนยันจากเจ้าของกระบวนการ/Finance</t>
      </text>
    </comment>
    <comment ref="G13" authorId="0" shapeId="0">
      <text>
        <t>กรอกสมมติฐานที่ได้รับการยืนยันจากเจ้าของกระบวนการ/Finance</t>
      </text>
    </comment>
    <comment ref="H13" authorId="0" shapeId="0">
      <text>
        <t>กรอกสมมติฐานที่ได้รับการยืนยันจากเจ้าของกระบวนการ/Finance</t>
      </text>
    </comment>
    <comment ref="I13" authorId="0" shapeId="0">
      <text>
        <t>กรอกสมมติฐานที่ได้รับการยืนยันจากเจ้าของกระบวนการ/Finance</t>
      </text>
    </comment>
    <comment ref="J13" authorId="0" shapeId="0">
      <text>
        <t>กรอกสมมติฐานที่ได้รับการยืนยันจากเจ้าของกระบวนการ/Finance</t>
      </text>
    </comment>
    <comment ref="K13" authorId="0" shapeId="0">
      <text>
        <t>กรอกสมมติฐานที่ได้รับการยืนยันจากเจ้าของกระบวนการ/Finance</t>
      </text>
    </comment>
    <comment ref="L13" authorId="0" shapeId="0">
      <text>
        <t>กรอกสมมติฐานที่ได้รับการยืนยันจากเจ้าของกระบวนการ/Finance</t>
      </text>
    </comment>
    <comment ref="E14" authorId="0" shapeId="0">
      <text>
        <t>กรอกสมมติฐานที่ได้รับการยืนยันจากเจ้าของกระบวนการ/Finance</t>
      </text>
    </comment>
    <comment ref="F14" authorId="0" shapeId="0">
      <text>
        <t>กรอกสมมติฐานที่ได้รับการยืนยันจากเจ้าของกระบวนการ/Finance</t>
      </text>
    </comment>
    <comment ref="G14" authorId="0" shapeId="0">
      <text>
        <t>กรอกสมมติฐานที่ได้รับการยืนยันจากเจ้าของกระบวนการ/Finance</t>
      </text>
    </comment>
    <comment ref="H14" authorId="0" shapeId="0">
      <text>
        <t>กรอกสมมติฐานที่ได้รับการยืนยันจากเจ้าของกระบวนการ/Finance</t>
      </text>
    </comment>
    <comment ref="I14" authorId="0" shapeId="0">
      <text>
        <t>กรอกสมมติฐานที่ได้รับการยืนยันจากเจ้าของกระบวนการ/Finance</t>
      </text>
    </comment>
    <comment ref="J14" authorId="0" shapeId="0">
      <text>
        <t>กรอกสมมติฐานที่ได้รับการยืนยันจากเจ้าของกระบวนการ/Finance</t>
      </text>
    </comment>
    <comment ref="K14" authorId="0" shapeId="0">
      <text>
        <t>กรอกสมมติฐานที่ได้รับการยืนยันจากเจ้าของกระบวนการ/Finance</t>
      </text>
    </comment>
    <comment ref="L14" authorId="0" shapeId="0">
      <text>
        <t>กรอกสมมติฐานที่ได้รับการยืนยันจากเจ้าของกระบวนการ/Finance</t>
      </text>
    </comment>
    <comment ref="E15" authorId="0" shapeId="0">
      <text>
        <t>กรอกสมมติฐานที่ได้รับการยืนยันจากเจ้าของกระบวนการ/Finance</t>
      </text>
    </comment>
    <comment ref="F15" authorId="0" shapeId="0">
      <text>
        <t>กรอกสมมติฐานที่ได้รับการยืนยันจากเจ้าของกระบวนการ/Finance</t>
      </text>
    </comment>
    <comment ref="G15" authorId="0" shapeId="0">
      <text>
        <t>กรอกสมมติฐานที่ได้รับการยืนยันจากเจ้าของกระบวนการ/Finance</t>
      </text>
    </comment>
    <comment ref="H15" authorId="0" shapeId="0">
      <text>
        <t>กรอกสมมติฐานที่ได้รับการยืนยันจากเจ้าของกระบวนการ/Finance</t>
      </text>
    </comment>
    <comment ref="I15" authorId="0" shapeId="0">
      <text>
        <t>กรอกสมมติฐานที่ได้รับการยืนยันจากเจ้าของกระบวนการ/Finance</t>
      </text>
    </comment>
    <comment ref="J15" authorId="0" shapeId="0">
      <text>
        <t>กรอกสมมติฐานที่ได้รับการยืนยันจากเจ้าของกระบวนการ/Finance</t>
      </text>
    </comment>
    <comment ref="K15" authorId="0" shapeId="0">
      <text>
        <t>กรอกสมมติฐานที่ได้รับการยืนยันจากเจ้าของกระบวนการ/Finance</t>
      </text>
    </comment>
    <comment ref="L15" authorId="0" shapeId="0">
      <text>
        <t>กรอกสมมติฐานที่ได้รับการยืนยันจากเจ้าของกระบวนการ/Finance</t>
      </text>
    </comment>
    <comment ref="E16" authorId="0" shapeId="0">
      <text>
        <t>กรอกสมมติฐานที่ได้รับการยืนยันจากเจ้าของกระบวนการ/Finance</t>
      </text>
    </comment>
    <comment ref="F16" authorId="0" shapeId="0">
      <text>
        <t>กรอกสมมติฐานที่ได้รับการยืนยันจากเจ้าของกระบวนการ/Finance</t>
      </text>
    </comment>
    <comment ref="G16" authorId="0" shapeId="0">
      <text>
        <t>กรอกสมมติฐานที่ได้รับการยืนยันจากเจ้าของกระบวนการ/Finance</t>
      </text>
    </comment>
    <comment ref="H16" authorId="0" shapeId="0">
      <text>
        <t>กรอกสมมติฐานที่ได้รับการยืนยันจากเจ้าของกระบวนการ/Finance</t>
      </text>
    </comment>
    <comment ref="I16" authorId="0" shapeId="0">
      <text>
        <t>กรอกสมมติฐานที่ได้รับการยืนยันจากเจ้าของกระบวนการ/Finance</t>
      </text>
    </comment>
    <comment ref="J16" authorId="0" shapeId="0">
      <text>
        <t>กรอกสมมติฐานที่ได้รับการยืนยันจากเจ้าของกระบวนการ/Finance</t>
      </text>
    </comment>
    <comment ref="K16" authorId="0" shapeId="0">
      <text>
        <t>กรอกสมมติฐานที่ได้รับการยืนยันจากเจ้าของกระบวนการ/Finance</t>
      </text>
    </comment>
    <comment ref="L16" authorId="0" shapeId="0">
      <text>
        <t>กรอกสมมติฐานที่ได้รับการยืนยันจากเจ้าของกระบวนการ/Finance</t>
      </text>
    </comment>
    <comment ref="E17" authorId="0" shapeId="0">
      <text>
        <t>กรอกสมมติฐานที่ได้รับการยืนยันจากเจ้าของกระบวนการ/Finance</t>
      </text>
    </comment>
    <comment ref="F17" authorId="0" shapeId="0">
      <text>
        <t>กรอกสมมติฐานที่ได้รับการยืนยันจากเจ้าของกระบวนการ/Finance</t>
      </text>
    </comment>
    <comment ref="G17" authorId="0" shapeId="0">
      <text>
        <t>กรอกสมมติฐานที่ได้รับการยืนยันจากเจ้าของกระบวนการ/Finance</t>
      </text>
    </comment>
    <comment ref="H17" authorId="0" shapeId="0">
      <text>
        <t>กรอกสมมติฐานที่ได้รับการยืนยันจากเจ้าของกระบวนการ/Finance</t>
      </text>
    </comment>
    <comment ref="I17" authorId="0" shapeId="0">
      <text>
        <t>กรอกสมมติฐานที่ได้รับการยืนยันจากเจ้าของกระบวนการ/Finance</t>
      </text>
    </comment>
    <comment ref="J17" authorId="0" shapeId="0">
      <text>
        <t>กรอกสมมติฐานที่ได้รับการยืนยันจากเจ้าของกระบวนการ/Finance</t>
      </text>
    </comment>
    <comment ref="K17" authorId="0" shapeId="0">
      <text>
        <t>กรอกสมมติฐานที่ได้รับการยืนยันจากเจ้าของกระบวนการ/Finance</t>
      </text>
    </comment>
    <comment ref="L17" authorId="0" shapeId="0">
      <text>
        <t>กรอกสมมติฐานที่ได้รับการยืนยันจากเจ้าของกระบวนการ/Finance</t>
      </text>
    </comment>
    <comment ref="E18" authorId="0" shapeId="0">
      <text>
        <t>กรอกสมมติฐานที่ได้รับการยืนยันจากเจ้าของกระบวนการ/Finance</t>
      </text>
    </comment>
    <comment ref="F18" authorId="0" shapeId="0">
      <text>
        <t>กรอกสมมติฐานที่ได้รับการยืนยันจากเจ้าของกระบวนการ/Finance</t>
      </text>
    </comment>
    <comment ref="G18" authorId="0" shapeId="0">
      <text>
        <t>กรอกสมมติฐานที่ได้รับการยืนยันจากเจ้าของกระบวนการ/Finance</t>
      </text>
    </comment>
    <comment ref="H18" authorId="0" shapeId="0">
      <text>
        <t>กรอกสมมติฐานที่ได้รับการยืนยันจากเจ้าของกระบวนการ/Finance</t>
      </text>
    </comment>
    <comment ref="I18" authorId="0" shapeId="0">
      <text>
        <t>กรอกสมมติฐานที่ได้รับการยืนยันจากเจ้าของกระบวนการ/Finance</t>
      </text>
    </comment>
    <comment ref="J18" authorId="0" shapeId="0">
      <text>
        <t>กรอกสมมติฐานที่ได้รับการยืนยันจากเจ้าของกระบวนการ/Finance</t>
      </text>
    </comment>
    <comment ref="K18" authorId="0" shapeId="0">
      <text>
        <t>กรอกสมมติฐานที่ได้รับการยืนยันจากเจ้าของกระบวนการ/Finance</t>
      </text>
    </comment>
    <comment ref="L18" authorId="0" shapeId="0">
      <text>
        <t>กรอกสมมติฐานที่ได้รับการยืนยันจากเจ้าของกระบวนการ/Finance</t>
      </text>
    </comment>
    <comment ref="E19" authorId="0" shapeId="0">
      <text>
        <t>กรอกสมมติฐานที่ได้รับการยืนยันจากเจ้าของกระบวนการ/Finance</t>
      </text>
    </comment>
    <comment ref="F19" authorId="0" shapeId="0">
      <text>
        <t>กรอกสมมติฐานที่ได้รับการยืนยันจากเจ้าของกระบวนการ/Finance</t>
      </text>
    </comment>
    <comment ref="G19" authorId="0" shapeId="0">
      <text>
        <t>กรอกสมมติฐานที่ได้รับการยืนยันจากเจ้าของกระบวนการ/Finance</t>
      </text>
    </comment>
    <comment ref="H19" authorId="0" shapeId="0">
      <text>
        <t>กรอกสมมติฐานที่ได้รับการยืนยันจากเจ้าของกระบวนการ/Finance</t>
      </text>
    </comment>
    <comment ref="I19" authorId="0" shapeId="0">
      <text>
        <t>กรอกสมมติฐานที่ได้รับการยืนยันจากเจ้าของกระบวนการ/Finance</t>
      </text>
    </comment>
    <comment ref="J19" authorId="0" shapeId="0">
      <text>
        <t>กรอกสมมติฐานที่ได้รับการยืนยันจากเจ้าของกระบวนการ/Finance</t>
      </text>
    </comment>
    <comment ref="K19" authorId="0" shapeId="0">
      <text>
        <t>กรอกสมมติฐานที่ได้รับการยืนยันจากเจ้าของกระบวนการ/Finance</t>
      </text>
    </comment>
    <comment ref="L19" authorId="0" shapeId="0">
      <text>
        <t>กรอกสมมติฐานที่ได้รับการยืนยันจากเจ้าของกระบวนการ/Finance</t>
      </text>
    </comment>
    <comment ref="E20" authorId="0" shapeId="0">
      <text>
        <t>กรอกสมมติฐานที่ได้รับการยืนยันจากเจ้าของกระบวนการ/Finance</t>
      </text>
    </comment>
    <comment ref="F20" authorId="0" shapeId="0">
      <text>
        <t>กรอกสมมติฐานที่ได้รับการยืนยันจากเจ้าของกระบวนการ/Finance</t>
      </text>
    </comment>
    <comment ref="G20" authorId="0" shapeId="0">
      <text>
        <t>กรอกสมมติฐานที่ได้รับการยืนยันจากเจ้าของกระบวนการ/Finance</t>
      </text>
    </comment>
    <comment ref="H20" authorId="0" shapeId="0">
      <text>
        <t>กรอกสมมติฐานที่ได้รับการยืนยันจากเจ้าของกระบวนการ/Finance</t>
      </text>
    </comment>
    <comment ref="I20" authorId="0" shapeId="0">
      <text>
        <t>กรอกสมมติฐานที่ได้รับการยืนยันจากเจ้าของกระบวนการ/Finance</t>
      </text>
    </comment>
    <comment ref="J20" authorId="0" shapeId="0">
      <text>
        <t>กรอกสมมติฐานที่ได้รับการยืนยันจากเจ้าของกระบวนการ/Finance</t>
      </text>
    </comment>
    <comment ref="K20" authorId="0" shapeId="0">
      <text>
        <t>กรอกสมมติฐานที่ได้รับการยืนยันจากเจ้าของกระบวนการ/Finance</t>
      </text>
    </comment>
    <comment ref="L20" authorId="0" shapeId="0">
      <text>
        <t>กรอกสมมติฐานที่ได้รับการยืนยันจากเจ้าของกระบวนการ/Finance</t>
      </text>
    </comment>
    <comment ref="E21" authorId="0" shapeId="0">
      <text>
        <t>กรอกสมมติฐานที่ได้รับการยืนยันจากเจ้าของกระบวนการ/Finance</t>
      </text>
    </comment>
    <comment ref="F21" authorId="0" shapeId="0">
      <text>
        <t>กรอกสมมติฐานที่ได้รับการยืนยันจากเจ้าของกระบวนการ/Finance</t>
      </text>
    </comment>
    <comment ref="G21" authorId="0" shapeId="0">
      <text>
        <t>กรอกสมมติฐานที่ได้รับการยืนยันจากเจ้าของกระบวนการ/Finance</t>
      </text>
    </comment>
    <comment ref="H21" authorId="0" shapeId="0">
      <text>
        <t>กรอกสมมติฐานที่ได้รับการยืนยันจากเจ้าของกระบวนการ/Finance</t>
      </text>
    </comment>
    <comment ref="I21" authorId="0" shapeId="0">
      <text>
        <t>กรอกสมมติฐานที่ได้รับการยืนยันจากเจ้าของกระบวนการ/Finance</t>
      </text>
    </comment>
    <comment ref="J21" authorId="0" shapeId="0">
      <text>
        <t>กรอกสมมติฐานที่ได้รับการยืนยันจากเจ้าของกระบวนการ/Finance</t>
      </text>
    </comment>
    <comment ref="K21" authorId="0" shapeId="0">
      <text>
        <t>กรอกสมมติฐานที่ได้รับการยืนยันจากเจ้าของกระบวนการ/Finance</t>
      </text>
    </comment>
    <comment ref="L21" authorId="0" shapeId="0">
      <text>
        <t>กรอกสมมติฐานที่ได้รับการยืนยันจากเจ้าของกระบวนการ/Finance</t>
      </text>
    </comment>
    <comment ref="E22" authorId="0" shapeId="0">
      <text>
        <t>กรอกสมมติฐานที่ได้รับการยืนยันจากเจ้าของกระบวนการ/Finance</t>
      </text>
    </comment>
    <comment ref="F22" authorId="0" shapeId="0">
      <text>
        <t>กรอกสมมติฐานที่ได้รับการยืนยันจากเจ้าของกระบวนการ/Finance</t>
      </text>
    </comment>
    <comment ref="G22" authorId="0" shapeId="0">
      <text>
        <t>กรอกสมมติฐานที่ได้รับการยืนยันจากเจ้าของกระบวนการ/Finance</t>
      </text>
    </comment>
    <comment ref="H22" authorId="0" shapeId="0">
      <text>
        <t>กรอกสมมติฐานที่ได้รับการยืนยันจากเจ้าของกระบวนการ/Finance</t>
      </text>
    </comment>
    <comment ref="I22" authorId="0" shapeId="0">
      <text>
        <t>กรอกสมมติฐานที่ได้รับการยืนยันจากเจ้าของกระบวนการ/Finance</t>
      </text>
    </comment>
    <comment ref="J22" authorId="0" shapeId="0">
      <text>
        <t>กรอกสมมติฐานที่ได้รับการยืนยันจากเจ้าของกระบวนการ/Finance</t>
      </text>
    </comment>
    <comment ref="K22" authorId="0" shapeId="0">
      <text>
        <t>กรอกสมมติฐานที่ได้รับการยืนยันจากเจ้าของกระบวนการ/Finance</t>
      </text>
    </comment>
    <comment ref="L22" authorId="0" shapeId="0">
      <text>
        <t>กรอกสมมติฐานที่ได้รับการยืนยันจากเจ้าของกระบวนการ/Finance</t>
      </text>
    </comment>
    <comment ref="E23" authorId="0" shapeId="0">
      <text>
        <t>กรอกสมมติฐานที่ได้รับการยืนยันจากเจ้าของกระบวนการ/Finance</t>
      </text>
    </comment>
    <comment ref="F23" authorId="0" shapeId="0">
      <text>
        <t>กรอกสมมติฐานที่ได้รับการยืนยันจากเจ้าของกระบวนการ/Finance</t>
      </text>
    </comment>
    <comment ref="G23" authorId="0" shapeId="0">
      <text>
        <t>กรอกสมมติฐานที่ได้รับการยืนยันจากเจ้าของกระบวนการ/Finance</t>
      </text>
    </comment>
    <comment ref="H23" authorId="0" shapeId="0">
      <text>
        <t>กรอกสมมติฐานที่ได้รับการยืนยันจากเจ้าของกระบวนการ/Finance</t>
      </text>
    </comment>
    <comment ref="I23" authorId="0" shapeId="0">
      <text>
        <t>กรอกสมมติฐานที่ได้รับการยืนยันจากเจ้าของกระบวนการ/Finance</t>
      </text>
    </comment>
    <comment ref="J23" authorId="0" shapeId="0">
      <text>
        <t>กรอกสมมติฐานที่ได้รับการยืนยันจากเจ้าของกระบวนการ/Finance</t>
      </text>
    </comment>
    <comment ref="K23" authorId="0" shapeId="0">
      <text>
        <t>กรอกสมมติฐานที่ได้รับการยืนยันจากเจ้าของกระบวนการ/Finance</t>
      </text>
    </comment>
    <comment ref="L23" authorId="0" shapeId="0">
      <text>
        <t>กรอกสมมติฐานที่ได้รับการยืนยันจากเจ้าของกระบวนการ/Finance</t>
      </text>
    </comment>
  </commentList>
</comments>
</file>

<file path=xl/tables/table1.xml><?xml version="1.0" encoding="utf-8"?>
<table xmlns="http://schemas.openxmlformats.org/spreadsheetml/2006/main" id="1" name="ProjectPortfolio" displayName="ProjectPortfolio" ref="B6:R23" headerRowCount="1">
  <autoFilter ref="B6:R23"/>
  <tableColumns count="17">
    <tableColumn id="2" name="ชื่อ-นามสกุล"/>
    <tableColumn id="3" name="รหัส"/>
    <tableColumn id="4" name="ตำแหน่ง / หน่วยงาน"/>
    <tableColumn id="5" name="ชื่อระบบ MVP"/>
    <tableColumn id="6" name="โจทย์งาน"/>
    <tableColumn id="7" name="คันโยกหลัก"/>
    <tableColumn id="8" name="สร้างรายได้"/>
    <tableColumn id="9" name="ลดรายจ่าย"/>
    <tableColumn id="10" name="ขยายโอกาส"/>
    <tableColumn id="11" name="Impact_x000a_1-5"/>
    <tableColumn id="12" name="Feasibility_x000a_1-5"/>
    <tableColumn id="13" name="Data readiness_x000a_1-5"/>
    <tableColumn id="14" name="Risk"/>
    <tableColumn id="15" name="Priority Score"/>
    <tableColumn id="16" name="Wave"/>
    <tableColumn id="17" name="KPI หลัก"/>
    <tableColumn id="18" name="Demo 2 สัปดาห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ildBriefs" displayName="BuildBriefs" ref="B6:L23" headerRowCount="1">
  <autoFilter ref="B6:L23"/>
  <tableColumns count="11">
    <tableColumn id="2" name="ชื่อ"/>
    <tableColumn id="3" name="ระบบ"/>
    <tableColumn id="4" name="ผู้ใช้/ปัญหา"/>
    <tableColumn id="5" name="ฟีเจอร์ MVP"/>
    <tableColumn id="6" name="ข้อมูลเข้า"/>
    <tableColumn id="7" name="ผลลัพธ์"/>
    <tableColumn id="8" name="Antigravity Build Pattern"/>
    <tableColumn id="9" name="Phase 2 Integration"/>
    <tableColumn id="10" name="Acceptance Test"/>
    <tableColumn id="11" name="Risk Boundary"/>
    <tableColumn id="12" name="Starter Promp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ROICalculator" displayName="ROICalculator" ref="B6:R23" headerRowCount="1">
  <autoFilter ref="B6:R23"/>
  <tableColumns count="17">
    <tableColumn id="2" name="โครงการ"/>
    <tableColumn id="3" name="เจ้าของ"/>
    <tableColumn id="4" name="Lever"/>
    <tableColumn id="5" name="ปริมาณเคส/ธุรกรรมต่อปี"/>
    <tableColumn id="6" name="มูลค่าเฉลี่ยต่อเคส (บาท)"/>
    <tableColumn id="7" name="คาดการณ์เพิ่มรายได้ (%)"/>
    <tableColumn id="8" name="ชั่วโมงประหยัด/เดือน"/>
    <tableColumn id="9" name="ต้นทุนแรงงาน/ชั่วโมง (บาท)"/>
    <tableColumn id="10" name="ประหยัด waste/denial ต่อปี (บาท)"/>
    <tableColumn id="11" name="ค่าพัฒนาเริ่มต้น (บาท)"/>
    <tableColumn id="12" name="ค่าใช้จ่ายระบบ/ปี (บาท)"/>
    <tableColumn id="13" name="รายได้เพิ่ม/ปี"/>
    <tableColumn id="14" name="ประหยัดแรงงาน/ปี"/>
    <tableColumn id="15" name="ผลประโยชน์รวม/ปี"/>
    <tableColumn id="16" name="ผลสุทธิปีแรก"/>
    <tableColumn id="17" name="ROI ปีแรก"/>
    <tableColumn id="18" name="Payback (เดือน)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WorkshopSquads" displayName="WorkshopSquads" ref="B6:F11" headerRowCount="1">
  <autoFilter ref="B6:F11"/>
  <tableColumns count="5">
    <tableColumn id="2" name="Squad"/>
    <tableColumn id="3" name="สมาชิกหลัก"/>
    <tableColumn id="4" name="เป้าหมาย"/>
    <tableColumn id="5" name="Mentor/Reviewer"/>
    <tableColumn id="6" name="Demo Day Metr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orkshopPlan" displayName="WorkshopPlan" ref="B15:F20" headerRowCount="1">
  <autoFilter ref="B15:F20"/>
  <tableColumns count="5">
    <tableColumn id="2" name="Session"/>
    <tableColumn id="3" name="Focus"/>
    <tableColumn id="4" name="Deliverable"/>
    <tableColumn id="5" name="Antigravity วิธีใช้"/>
    <tableColumn id="6" name="Exit criteria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RiskTiers" displayName="RiskTiers" ref="B16:F20" headerRowCount="1">
  <autoFilter ref="B16:F20"/>
  <tableColumns count="5">
    <tableColumn id="2" name="Risk"/>
    <tableColumn id="3" name="ตัวอย่างใน Portfolio"/>
    <tableColumn id="4" name="Prototype requirement"/>
    <tableColumn id="5" name="ก่อน Pilot"/>
    <tableColumn id="6" name="ก่อน Production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SourcesTable" displayName="SourcesTable" ref="B6:F14" headerRowCount="1">
  <autoFilter ref="B6:F14"/>
  <tableColumns count="5">
    <tableColumn id="2" name="#"/>
    <tableColumn id="3" name="Source"/>
    <tableColumn id="4" name="ใช้ประกอบ"/>
    <tableColumn id="5" name="URL / Reference"/>
    <tableColumn id="6" name="เข้าถึงเมื่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antigravity.google/docs/overview/" TargetMode="External" Id="rId1"/><Relationship Type="http://schemas.openxmlformats.org/officeDocument/2006/relationships/hyperlink" Target="https://antigravity.google/docs/skills/" TargetMode="External" Id="rId2"/><Relationship Type="http://schemas.openxmlformats.org/officeDocument/2006/relationships/hyperlink" Target="https://antigravity.google/docs/artifacts/" TargetMode="External" Id="rId3"/><Relationship Type="http://schemas.openxmlformats.org/officeDocument/2006/relationships/hyperlink" Target="https://www.vejthani.com/about-us/fact-sheet/" TargetMode="External" Id="rId4"/><Relationship Type="http://schemas.openxmlformats.org/officeDocument/2006/relationships/hyperlink" Target="https://www.vejthani.com/patient-services/hospital-services-facilities/international-service-center/" TargetMode="External" Id="rId5"/><Relationship Type="http://schemas.openxmlformats.org/officeDocument/2006/relationships/hyperlink" Target="https://www.who.int/publications/i/item/9789240029200" TargetMode="External" Id="rId6"/><Relationship Type="http://schemas.openxmlformats.org/officeDocument/2006/relationships/hyperlink" Target="https://iris.who.int/bitstream/handle/10665/375579/9789240084759-eng.pdf?sequence=1" TargetMode="External" Id="rId7"/><Relationship Type="http://schemas.openxmlformats.org/officeDocument/2006/relationships/table" Target="/xl/tables/table7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 ht="34" customHeight="1">
      <c r="B2" s="1" t="inlineStr">
        <is>
          <t>Vejthani × Google Antigravity: AI App Portfolio</t>
        </is>
      </c>
    </row>
    <row r="3" ht="28" customHeight="1">
      <c r="B3" s="2" t="inlineStr">
        <is>
          <t>17 โครงการเฉพาะบุคคล เพื่อสร้างรายได้ ลดรายจ่าย และขยายโอกาส | ฉบับเตรียมเวิร์กช็อป | 20 ก.ย. 2026</t>
        </is>
      </c>
    </row>
    <row r="5" ht="23" customHeight="1">
      <c r="B5" s="3" t="inlineStr">
        <is>
          <t>Portfolio at a glance</t>
        </is>
      </c>
    </row>
    <row r="7">
      <c r="B7" s="4" t="inlineStr">
        <is>
          <t>ผู้เข้าอบรม/โครงการ</t>
        </is>
      </c>
      <c r="E7" s="5" t="inlineStr">
        <is>
          <t>เน้นรายได้</t>
        </is>
      </c>
      <c r="H7" s="6" t="inlineStr">
        <is>
          <t>เน้นลดรายจ่าย</t>
        </is>
      </c>
      <c r="K7" s="7" t="inlineStr">
        <is>
          <t>Wave 1</t>
        </is>
      </c>
    </row>
    <row r="8">
      <c r="B8" s="8">
        <f>COUNTA('Project Portfolio'!B7:B23)</f>
        <v/>
      </c>
      <c r="E8" s="9">
        <f>COUNTIF('Project Portfolio'!G7:G23,"*รายได้*")</f>
        <v/>
      </c>
      <c r="H8" s="10">
        <f>COUNTIF('Project Portfolio'!G7:G23,"*ลดรายจ่าย*")</f>
        <v/>
      </c>
      <c r="K8" s="11">
        <f>COUNTIF('Project Portfolio'!P7:P23,"Wave 1*")</f>
        <v/>
      </c>
    </row>
    <row r="9"/>
    <row r="11" ht="23" customHeight="1">
      <c r="B11" s="3" t="inlineStr">
        <is>
          <t>ข้อเสนอแนะเริ่มต้น</t>
        </is>
      </c>
    </row>
    <row r="13" ht="32" customHeight="1">
      <c r="B13" s="12" t="inlineStr">
        <is>
          <t>เริ่ม Wave 1 ด้วยข้อมูลจำลอง 100%</t>
        </is>
      </c>
      <c r="C13" s="13" t="inlineStr">
        <is>
          <t>Kitchen Cost, Complaint Recovery, Residence Booking, Facilities/Linen และ Agent Growth มี KPI วัดได้และสร้าง Demo end-to-end ได้เร็ว</t>
        </is>
      </c>
    </row>
    <row r="14" ht="32" customHeight="1">
      <c r="B14" s="12" t="inlineStr">
        <is>
          <t>อย่าทำ 17 ระบบแยกแบบโดดเดี่ยว</t>
        </is>
      </c>
      <c r="C14" s="13" t="inlineStr">
        <is>
          <t>ใช้ component ร่วม: Login/Role, file upload, audit log, approval, notification, export และ design system เดียวกัน</t>
        </is>
      </c>
    </row>
    <row r="15" ht="32" customHeight="1">
      <c r="B15" s="12" t="inlineStr">
        <is>
          <t>แยก Prototype ออกจาก Production</t>
        </is>
      </c>
      <c r="C15" s="13" t="inlineStr">
        <is>
          <t>Antigravity ใช้เร่งวางแผน เขียนโค้ด ทดสอบ และสร้าง artifacts; การเชื่อม HIS/CRM/ข้อมูลผู้ป่วยต้องผ่าน IT, Security, Legal และ Data Governance</t>
        </is>
      </c>
    </row>
    <row r="16" ht="32" customHeight="1">
      <c r="B16" s="12" t="inlineStr">
        <is>
          <t>Clinical AI ต้องเป็น Assistant</t>
        </is>
      </c>
      <c r="C16" s="13" t="inlineStr">
        <is>
          <t>โครงการเภสัชกรรมและเอกสารการแพทย์ต้องแสดงแหล่งอ้างอิง ความไม่แน่นอน และให้ผู้เชี่ยวชาญอนุมัติทุกครั้ง</t>
        </is>
      </c>
    </row>
    <row r="18" ht="23" customHeight="1">
      <c r="B18" s="3" t="inlineStr">
        <is>
          <t>5 MVP ที่แนะนำให้ทำก่อน</t>
        </is>
      </c>
    </row>
    <row r="20">
      <c r="B20" s="14" t="inlineStr">
        <is>
          <t>ลำดับ</t>
        </is>
      </c>
      <c r="C20" s="14" t="inlineStr">
        <is>
          <t>MVP</t>
        </is>
      </c>
      <c r="D20" s="14" t="inlineStr">
        <is>
          <t>เหตุผล</t>
        </is>
      </c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30" customHeight="1">
      <c r="B21" s="15" t="inlineStr">
        <is>
          <t>1</t>
        </is>
      </c>
      <c r="C21" s="15" t="inlineStr">
        <is>
          <t>Kitchen Cost, Inventory &amp; Waste Planner</t>
        </is>
      </c>
      <c r="D21" s="30" t="n"/>
      <c r="E21" s="30" t="n"/>
      <c r="F21" s="31" t="n"/>
      <c r="G21" s="15" t="inlineStr">
        <is>
          <t>ต้นทุน/ของเสียชัด วัดผลได้ และข้อมูลไม่ใช่ PHI</t>
        </is>
      </c>
      <c r="H21" s="30" t="n"/>
      <c r="I21" s="30" t="n"/>
      <c r="J21" s="30" t="n"/>
      <c r="K21" s="30" t="n"/>
      <c r="L21" s="31" t="n"/>
    </row>
    <row r="22" ht="30" customHeight="1">
      <c r="B22" s="15" t="inlineStr">
        <is>
          <t>2</t>
        </is>
      </c>
      <c r="C22" s="15" t="inlineStr">
        <is>
          <t>Complaint-to-Recovery &amp; Retention Studio</t>
        </is>
      </c>
      <c r="D22" s="30" t="n"/>
      <c r="E22" s="30" t="n"/>
      <c r="F22" s="31" t="n"/>
      <c r="G22" s="15" t="inlineStr">
        <is>
          <t>เชื่อม Voice of Customer กับ retention และ SLA</t>
        </is>
      </c>
      <c r="H22" s="30" t="n"/>
      <c r="I22" s="30" t="n"/>
      <c r="J22" s="30" t="n"/>
      <c r="K22" s="30" t="n"/>
      <c r="L22" s="31" t="n"/>
    </row>
    <row r="23" ht="30" customHeight="1">
      <c r="B23" s="15" t="inlineStr">
        <is>
          <t>3</t>
        </is>
      </c>
      <c r="C23" s="15" t="inlineStr">
        <is>
          <t>Residence Booking, Service &amp; Smart Upsell Desk</t>
        </is>
      </c>
      <c r="D23" s="30" t="n"/>
      <c r="E23" s="30" t="n"/>
      <c r="F23" s="31" t="n"/>
      <c r="G23" s="15" t="inlineStr">
        <is>
          <t>เห็นกลไกรายได้โดยตรงจาก occupancy และ conversion</t>
        </is>
      </c>
      <c r="H23" s="30" t="n"/>
      <c r="I23" s="30" t="n"/>
      <c r="J23" s="30" t="n"/>
      <c r="K23" s="30" t="n"/>
      <c r="L23" s="31" t="n"/>
    </row>
    <row r="24" ht="30" customHeight="1">
      <c r="B24" s="15" t="inlineStr">
        <is>
          <t>4</t>
        </is>
      </c>
      <c r="C24" s="15" t="inlineStr">
        <is>
          <t>Facilities, Linen &amp; Compliance Operations Hub</t>
        </is>
      </c>
      <c r="D24" s="30" t="n"/>
      <c r="E24" s="30" t="n"/>
      <c r="F24" s="31" t="n"/>
      <c r="G24" s="15" t="inlineStr">
        <is>
          <t>ลด manual work และต้นทุนสูญเสียหลายจุด</t>
        </is>
      </c>
      <c r="H24" s="30" t="n"/>
      <c r="I24" s="30" t="n"/>
      <c r="J24" s="30" t="n"/>
      <c r="K24" s="30" t="n"/>
      <c r="L24" s="31" t="n"/>
    </row>
    <row r="25" ht="30" customHeight="1">
      <c r="B25" s="15" t="inlineStr">
        <is>
          <t>5</t>
        </is>
      </c>
      <c r="C25" s="15" t="inlineStr">
        <is>
          <t>Agent &amp; Patient Growth Cockpit</t>
        </is>
      </c>
      <c r="D25" s="30" t="n"/>
      <c r="E25" s="30" t="n"/>
      <c r="F25" s="31" t="n"/>
      <c r="G25" s="15" t="inlineStr">
        <is>
          <t>ใช้ข้อมูลเพื่อเลือก Agent/segment/campaign ที่ควรลงทุน</t>
        </is>
      </c>
      <c r="H25" s="30" t="n"/>
      <c r="I25" s="30" t="n"/>
      <c r="J25" s="30" t="n"/>
      <c r="K25" s="30" t="n"/>
      <c r="L25" s="31" t="n"/>
    </row>
    <row r="27" ht="23" customHeight="1">
      <c r="B27" s="3" t="inlineStr">
        <is>
          <t>ลิงก์ไปยังชีต</t>
        </is>
      </c>
    </row>
    <row r="29" ht="22" customHeight="1">
      <c r="B29" s="16" t="inlineStr">
        <is>
          <t>Project Portfolio</t>
        </is>
      </c>
      <c r="C29" s="17" t="inlineStr">
        <is>
          <t>รายชื่อ 17 คน ไอเดีย กลไกคุณค่า KPI คะแนน และ Wave</t>
        </is>
      </c>
    </row>
    <row r="30" ht="22" customHeight="1">
      <c r="B30" s="16" t="inlineStr">
        <is>
          <t>Build Briefs</t>
        </is>
      </c>
      <c r="C30" s="17" t="inlineStr">
        <is>
          <t>รายละเอียด MVP, Acceptance Test และ Prompt พร้อมใช้กับ Antigravity</t>
        </is>
      </c>
    </row>
    <row r="31" ht="22" customHeight="1">
      <c r="B31" s="16" t="inlineStr">
        <is>
          <t>ROI Calculator</t>
        </is>
      </c>
      <c r="C31" s="17" t="inlineStr">
        <is>
          <t>ช่องกรอกสมมติฐานเพื่อคำนวณผลประโยชน์ ROI และระยะคืนทุน</t>
        </is>
      </c>
    </row>
    <row r="32" ht="22" customHeight="1">
      <c r="B32" s="16" t="inlineStr">
        <is>
          <t>Workshop Roadmap</t>
        </is>
      </c>
      <c r="C32" s="17" t="inlineStr">
        <is>
          <t>ทีม เวิร์กช็อป 4 วัน และ Gate ก่อนนำไปใช้จริง</t>
        </is>
      </c>
    </row>
    <row r="33" ht="22" customHeight="1">
      <c r="B33" s="16" t="inlineStr">
        <is>
          <t>Safety Governance</t>
        </is>
      </c>
      <c r="C33" s="17" t="inlineStr">
        <is>
          <t>ข้อห้าม การจัดชั้นความเสี่ยง และ Production checklist</t>
        </is>
      </c>
    </row>
    <row r="34" ht="22" customHeight="1">
      <c r="B34" s="16" t="inlineStr">
        <is>
          <t>Sources</t>
        </is>
      </c>
      <c r="C34" s="17" t="inlineStr">
        <is>
          <t>แหล่งอ้างอิงและข้อสมมติ</t>
        </is>
      </c>
    </row>
  </sheetData>
  <mergeCells count="34">
    <mergeCell ref="C23:F23"/>
    <mergeCell ref="B7:C7"/>
    <mergeCell ref="B3:L3"/>
    <mergeCell ref="C32:L32"/>
    <mergeCell ref="B27:L27"/>
    <mergeCell ref="B18:L18"/>
    <mergeCell ref="K8:L9"/>
    <mergeCell ref="C13:L13"/>
    <mergeCell ref="G24:L24"/>
    <mergeCell ref="B11:L11"/>
    <mergeCell ref="B2:L2"/>
    <mergeCell ref="C30:L30"/>
    <mergeCell ref="C34:L34"/>
    <mergeCell ref="C15:L15"/>
    <mergeCell ref="C24:F24"/>
    <mergeCell ref="H8:I9"/>
    <mergeCell ref="C33:L33"/>
    <mergeCell ref="C14:L14"/>
    <mergeCell ref="G25:L25"/>
    <mergeCell ref="H7:I7"/>
    <mergeCell ref="G22:L22"/>
    <mergeCell ref="C29:L29"/>
    <mergeCell ref="C25:F25"/>
    <mergeCell ref="E8:F9"/>
    <mergeCell ref="C16:L16"/>
    <mergeCell ref="G21:L21"/>
    <mergeCell ref="C22:F22"/>
    <mergeCell ref="K7:L7"/>
    <mergeCell ref="B8:C9"/>
    <mergeCell ref="C31:L31"/>
    <mergeCell ref="E7:F7"/>
    <mergeCell ref="B5:L5"/>
    <mergeCell ref="C21:F21"/>
    <mergeCell ref="G23:L23"/>
  </mergeCells>
  <hyperlinks>
    <hyperlink ref="B29" location="'Project Portfolio'!B2"/>
    <hyperlink ref="B30" location="'Build Briefs'!B2"/>
    <hyperlink ref="B31" location="'ROI Calculator'!B2"/>
    <hyperlink ref="B32" location="'Workshop Roadmap'!B2"/>
    <hyperlink ref="B33" location="'Safety Governance'!B2"/>
    <hyperlink ref="B34" location="'Sources'!B2"/>
  </hyperlinks>
  <pageMargins left="0.25" right="0.25" top="0.5" bottom="0.5" header="0.5" footer="0.5"/>
  <pageSetup fitToHeight="0" fitToWidth="1"/>
  <headerFooter>
    <oddHeader/>
    <oddFooter>&amp;C&amp;8 &amp;K7F7F7FVejthani × Google Antigravity | Generated 20 Sep 2026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R23"/>
  <sheetViews>
    <sheetView showGridLines="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34" customWidth="1" min="4" max="4"/>
    <col width="35" customWidth="1" min="5" max="5"/>
    <col width="38" customWidth="1" min="6" max="6"/>
    <col width="21" customWidth="1" min="7" max="7"/>
    <col width="36" customWidth="1" min="8" max="8"/>
    <col width="36" customWidth="1" min="9" max="9"/>
    <col width="36" customWidth="1" min="10" max="10"/>
    <col width="10" customWidth="1" min="11" max="11"/>
    <col width="11" customWidth="1" min="12" max="12"/>
    <col width="12" customWidth="1" min="13" max="13"/>
    <col width="12" customWidth="1" min="14" max="14"/>
    <col width="12" customWidth="1" min="15" max="15"/>
    <col width="20" customWidth="1" min="16" max="16"/>
    <col width="31" customWidth="1" min="17" max="17"/>
    <col width="42" customWidth="1" min="18" max="18"/>
  </cols>
  <sheetData>
    <row r="2" ht="34" customHeight="1">
      <c r="B2" s="1" t="inlineStr">
        <is>
          <t>Project Portfolio รายบุคคล</t>
        </is>
      </c>
    </row>
    <row r="3" ht="28" customHeight="1">
      <c r="B3" s="2" t="inlineStr">
        <is>
          <t>คะแนนเป็นข้อเสนอเริ่มต้น แก้ไขค่า Impact / Feasibility / Data Readiness ได้ แล้วระบบจะจัด Wave ใหม่อัตโนมัติ</t>
        </is>
      </c>
    </row>
    <row r="5" ht="23" customHeight="1">
      <c r="B5" s="3" t="inlineStr">
        <is>
          <t>17 Personalized MVPs</t>
        </is>
      </c>
    </row>
    <row r="6" ht="42" customHeight="1">
      <c r="B6" s="18" t="inlineStr">
        <is>
          <t>ชื่อ-นามสกุล</t>
        </is>
      </c>
      <c r="C6" s="18" t="inlineStr">
        <is>
          <t>รหัส</t>
        </is>
      </c>
      <c r="D6" s="18" t="inlineStr">
        <is>
          <t>ตำแหน่ง / หน่วยงาน</t>
        </is>
      </c>
      <c r="E6" s="18" t="inlineStr">
        <is>
          <t>ชื่อระบบ MVP</t>
        </is>
      </c>
      <c r="F6" s="18" t="inlineStr">
        <is>
          <t>โจทย์งาน</t>
        </is>
      </c>
      <c r="G6" s="18" t="inlineStr">
        <is>
          <t>คันโยกหลัก</t>
        </is>
      </c>
      <c r="H6" s="18" t="inlineStr">
        <is>
          <t>สร้างรายได้</t>
        </is>
      </c>
      <c r="I6" s="18" t="inlineStr">
        <is>
          <t>ลดรายจ่าย</t>
        </is>
      </c>
      <c r="J6" s="18" t="inlineStr">
        <is>
          <t>ขยายโอกาส</t>
        </is>
      </c>
      <c r="K6" s="18" t="inlineStr">
        <is>
          <t>Impact
1-5</t>
        </is>
      </c>
      <c r="L6" s="18" t="inlineStr">
        <is>
          <t>Feasibility
1-5</t>
        </is>
      </c>
      <c r="M6" s="18" t="inlineStr">
        <is>
          <t>Data readiness
1-5</t>
        </is>
      </c>
      <c r="N6" s="18" t="inlineStr">
        <is>
          <t>Risk</t>
        </is>
      </c>
      <c r="O6" s="18" t="inlineStr">
        <is>
          <t>Priority Score</t>
        </is>
      </c>
      <c r="P6" s="18" t="inlineStr">
        <is>
          <t>Wave</t>
        </is>
      </c>
      <c r="Q6" s="18" t="inlineStr">
        <is>
          <t>KPI หลัก</t>
        </is>
      </c>
      <c r="R6" s="18" t="inlineStr">
        <is>
          <t>Demo 2 สัปดาห์</t>
        </is>
      </c>
    </row>
    <row r="7" ht="95" customHeight="1">
      <c r="B7" s="15" t="inlineStr">
        <is>
          <t>มธุรี จงโยธา</t>
        </is>
      </c>
      <c r="C7" s="15" t="inlineStr">
        <is>
          <t>9009723</t>
        </is>
      </c>
      <c r="D7" s="15" t="inlineStr">
        <is>
          <t>Customer Experience Manager
Customer Experience &amp; Thai Strategic Partnership Section</t>
        </is>
      </c>
      <c r="E7" s="15" t="inlineStr">
        <is>
          <t>CX Strategy &amp; Agent Relationship Command Center</t>
        </is>
      </c>
      <c r="F7" s="15" t="inlineStr">
        <is>
          <t>ข้อมูล Agent, Referral, กิจกรรม และงานติดตามกระจายหลายไฟล์ ทำให้จัดลำดับโอกาสและมอบหมายงานช้า</t>
        </is>
      </c>
      <c r="G7" s="15" t="inlineStr">
        <is>
          <t>รายได้ + ขยายโอกาส</t>
        </is>
      </c>
      <c r="H7" s="15" t="inlineStr">
        <is>
          <t>จัดลำดับ Agent ที่มีโอกาสส่งต่อสูงและติดตามดีล/กิจกรรมจนเกิด Referral</t>
        </is>
      </c>
      <c r="I7" s="15" t="inlineStr">
        <is>
          <t>ลดเวลารวมรายงาน ประชุมติดตาม และมอบหมายงานซ้ำ</t>
        </is>
      </c>
      <c r="J7" s="15" t="inlineStr">
        <is>
          <t>สร้าง Playbook ดูแล Agent รายประเทศและขยายเครือข่ายคู่ค้า</t>
        </is>
      </c>
      <c r="K7" s="19" t="n">
        <v>5</v>
      </c>
      <c r="L7" s="19" t="n">
        <v>4</v>
      </c>
      <c r="M7" s="19" t="n">
        <v>3</v>
      </c>
      <c r="N7" s="15" t="inlineStr">
        <is>
          <t>Medium</t>
        </is>
      </c>
      <c r="O7" s="15">
        <f>ROUND(K7*0.45+L7*0.35+M7*0.20-IF(N7="Low",0,IF(N7="Medium",0.15,IF(N7="High",0.35,0.75))),2)</f>
        <v/>
      </c>
      <c r="P7" s="15">
        <f>IF(O7&gt;=4.2,"Wave 1 - Quick win",IF(O7&gt;=3.6,"Wave 2 - Validate","Wave 3 - Foundation"))</f>
        <v/>
      </c>
      <c r="Q7" s="15" t="inlineStr">
        <is>
          <t>Referral conversion; revenue/agent; dormant-agent reactivation; ชั่วโมงทำรายงาน</t>
        </is>
      </c>
      <c r="R7" s="15" t="inlineStr">
        <is>
          <t>อัปโหลดไฟล์ Agent ตัวอย่าง → ระบบจัดกลุ่ม → เลือก Agent → สร้างแผนติดตามและ Weekly Brief</t>
        </is>
      </c>
    </row>
    <row r="8" ht="95" customHeight="1">
      <c r="B8" s="15" t="inlineStr">
        <is>
          <t>สินีนันทน์ เทียนถาวร</t>
        </is>
      </c>
      <c r="C8" s="15" t="inlineStr">
        <is>
          <t>9011082</t>
        </is>
      </c>
      <c r="D8" s="15" t="inlineStr">
        <is>
          <t>Customer Experience Management Trainee
Customer Experience &amp; Thai Strategic Partnership Section</t>
        </is>
      </c>
      <c r="E8" s="15" t="inlineStr">
        <is>
          <t>Complaint-to-Recovery &amp; Retention Studio</t>
        </is>
      </c>
      <c r="F8" s="15" t="inlineStr">
        <is>
          <t>ข้อร้องเรียนมาจากหลายช่องทาง ต้องอ่าน/จัดหมวด/ส่งต่อ และติดตามการแก้ไขด้วยมือ</t>
        </is>
      </c>
      <c r="G8" s="15" t="inlineStr">
        <is>
          <t>รายได้ + ลดรายจ่าย</t>
        </is>
      </c>
      <c r="H8" s="15" t="inlineStr">
        <is>
          <t>ลด churn และเปลี่ยนเคสที่แก้ไขสำเร็จเป็นการกลับมาใช้บริการ</t>
        </is>
      </c>
      <c r="I8" s="15" t="inlineStr">
        <is>
          <t>ลดเวลาคัดแยกข้อร้องเรียน ร่างคำตอบ และทำรายงานสาเหตุ</t>
        </is>
      </c>
      <c r="J8" s="15" t="inlineStr">
        <is>
          <t>เชื่อม Insight จาก Voice of Customer ไปสู่แคมเปญ CRM แบบมีเงื่อนไขอนุมัติ</t>
        </is>
      </c>
      <c r="K8" s="19" t="n">
        <v>4</v>
      </c>
      <c r="L8" s="19" t="n">
        <v>5</v>
      </c>
      <c r="M8" s="19" t="n">
        <v>4</v>
      </c>
      <c r="N8" s="15" t="inlineStr">
        <is>
          <t>Medium</t>
        </is>
      </c>
      <c r="O8" s="15">
        <f>ROUND(K8*0.45+L8*0.35+M8*0.20-IF(N8="Low",0,IF(N8="Medium",0.15,IF(N8="High",0.35,0.75))),2)</f>
        <v/>
      </c>
      <c r="P8" s="15">
        <f>IF(O8&gt;=4.2,"Wave 1 - Quick win",IF(O8&gt;=3.6,"Wave 2 - Validate","Wave 3 - Foundation"))</f>
        <v/>
      </c>
      <c r="Q8" s="15" t="inlineStr">
        <is>
          <t>First response time; SLA compliance; repeat complaints; recovery conversion; CSAT</t>
        </is>
      </c>
      <c r="R8" s="15" t="inlineStr">
        <is>
          <t>กรอกข้อร้องเรียน 5 เคส → ระบบจัดลำดับ → ร่างคำตอบ → มอบหมาย → ปิดเคสพร้อมเหตุผล</t>
        </is>
      </c>
    </row>
    <row r="9" ht="95" customHeight="1">
      <c r="B9" s="15" t="inlineStr">
        <is>
          <t>ณิชาทร ลีนะบรรจง</t>
        </is>
      </c>
      <c r="C9" s="15" t="inlineStr">
        <is>
          <t>9011202</t>
        </is>
      </c>
      <c r="D9" s="15" t="inlineStr">
        <is>
          <t>Customer &amp; Agent Insights Officer
Customer Experience &amp; Thai Strategic Partnership Section</t>
        </is>
      </c>
      <c r="E9" s="15" t="inlineStr">
        <is>
          <t>Agent &amp; Patient Growth Cockpit</t>
        </is>
      </c>
      <c r="F9" s="15" t="inlineStr">
        <is>
          <t>ข้อมูล Referral, Revenue, Retention, Journey และ Campaign อยู่คนละแหล่ง ทำให้หา Insight และเสนอ Action ช้า</t>
        </is>
      </c>
      <c r="G9" s="15" t="inlineStr">
        <is>
          <t>รายได้ + ขยายโอกาส</t>
        </is>
      </c>
      <c r="H9" s="15" t="inlineStr">
        <is>
          <t>ชี้ Agent/segment/campaign ที่ควรลงทุนเพื่อเพิ่ม Referral และกลับมาใช้บริการ</t>
        </is>
      </c>
      <c r="I9" s="15" t="inlineStr">
        <is>
          <t>ลดเวลารวมข้อมูล ทำ Dashboard และ Executive Summary</t>
        </is>
      </c>
      <c r="J9" s="15" t="inlineStr">
        <is>
          <t>วาง Customer Journey และ Marketing Automation จาก segment ที่วัดผลได้</t>
        </is>
      </c>
      <c r="K9" s="19" t="n">
        <v>5</v>
      </c>
      <c r="L9" s="19" t="n">
        <v>4</v>
      </c>
      <c r="M9" s="19" t="n">
        <v>4</v>
      </c>
      <c r="N9" s="15" t="inlineStr">
        <is>
          <t>High</t>
        </is>
      </c>
      <c r="O9" s="15">
        <f>ROUND(K9*0.45+L9*0.35+M9*0.20-IF(N9="Low",0,IF(N9="Medium",0.15,IF(N9="High",0.35,0.75))),2)</f>
        <v/>
      </c>
      <c r="P9" s="15">
        <f>IF(O9&gt;=4.2,"Wave 1 - Quick win",IF(O9&gt;=3.6,"Wave 2 - Validate","Wave 3 - Foundation"))</f>
        <v/>
      </c>
      <c r="Q9" s="15" t="inlineStr">
        <is>
          <t>Referral revenue; repeat rate; conversion by touchpoint; campaign ROI; report lead time</t>
        </is>
      </c>
      <c r="R9" s="15" t="inlineStr">
        <is>
          <t>อัปโหลดข้อมูลจำลอง 3 ตาราง → ตรวจคุณภาพ → แสดง Funnel → สร้าง 3 Growth Actions พร้อมเหตุผล</t>
        </is>
      </c>
    </row>
    <row r="10" ht="95" customHeight="1">
      <c r="B10" s="15" t="inlineStr">
        <is>
          <t>จนิษฐ์ฌาภา มากอยู่</t>
        </is>
      </c>
      <c r="C10" s="15" t="inlineStr">
        <is>
          <t>9006274</t>
        </is>
      </c>
      <c r="D10" s="15" t="inlineStr">
        <is>
          <t>Insurance Case Coordinator
Customer Experience &amp; Thai Strategic Partnership Section</t>
        </is>
      </c>
      <c r="E10" s="15" t="inlineStr">
        <is>
          <t>Insurance Eligibility &amp; Document Readiness Checker</t>
        </is>
      </c>
      <c r="F10" s="15" t="inlineStr">
        <is>
          <t>การตรวจสิทธิ์และเอกสารประกันหลายเคสมีรายการเอกสาร/เงื่อนไขต่างกัน เสี่ยงตกหล่นและตอบกลับช้า</t>
        </is>
      </c>
      <c r="G10" s="15" t="inlineStr">
        <is>
          <t>รายได้ + ลดรายจ่าย</t>
        </is>
      </c>
      <c r="H10" s="15" t="inlineStr">
        <is>
          <t>ลดเคสหลุดและการปฏิเสธ/ชะลอชำระจากเอกสารไม่ครบ</t>
        </is>
      </c>
      <c r="I10" s="15" t="inlineStr">
        <is>
          <t>ลดเวลาตรวจ checklist ติดตามเอกสาร และร่างข้อความถึงตัวแทน/ผู้ป่วย</t>
        </is>
      </c>
      <c r="J10" s="15" t="inlineStr">
        <is>
          <t>สร้างมาตรฐาน onboarding บริษัทประกัน/ตัวแทนใหม่</t>
        </is>
      </c>
      <c r="K10" s="19" t="n">
        <v>5</v>
      </c>
      <c r="L10" s="19" t="n">
        <v>4</v>
      </c>
      <c r="M10" s="19" t="n">
        <v>3</v>
      </c>
      <c r="N10" s="15" t="inlineStr">
        <is>
          <t>High</t>
        </is>
      </c>
      <c r="O10" s="15">
        <f>ROUND(K10*0.45+L10*0.35+M10*0.20-IF(N10="Low",0,IF(N10="Medium",0.15,IF(N10="High",0.35,0.75))),2)</f>
        <v/>
      </c>
      <c r="P10" s="15">
        <f>IF(O10&gt;=4.2,"Wave 1 - Quick win",IF(O10&gt;=3.6,"Wave 2 - Validate","Wave 3 - Foundation"))</f>
        <v/>
      </c>
      <c r="Q10" s="15" t="inlineStr">
        <is>
          <t>Document completeness; turnaround time; denial due to documentation; pending cases</t>
        </is>
      </c>
      <c r="R10" s="15" t="inlineStr">
        <is>
          <t>อัปโหลดเอกสารตัวอย่าง → ดึงฟิลด์ → เทียบ checklist → แสดงสิ่งที่ขาด → ร่างอีเมล</t>
        </is>
      </c>
    </row>
    <row r="11" ht="95" customHeight="1">
      <c r="B11" s="15" t="inlineStr">
        <is>
          <t>วัลยา แย้มโกสุมภ์</t>
        </is>
      </c>
      <c r="C11" s="15" t="inlineStr">
        <is>
          <t>9007327</t>
        </is>
      </c>
      <c r="D11" s="15" t="inlineStr">
        <is>
          <t>Ancillary Support Services Manager
Ancillary Support Service Department</t>
        </is>
      </c>
      <c r="E11" s="15" t="inlineStr">
        <is>
          <t>Hospital Support Operations Control Tower</t>
        </is>
      </c>
      <c r="F11" s="15" t="inlineStr">
        <is>
          <t>ต้องกำกับ 8 หน่วยงาน แต่ KPI, เวร, Incident และ SLA แยกกัน ทำให้เห็นคอขวดช้า</t>
        </is>
      </c>
      <c r="G11" s="15" t="inlineStr">
        <is>
          <t>ลดรายจ่าย + ขยายโอกาส</t>
        </is>
      </c>
      <c r="H11" s="15" t="inlineStr">
        <is>
          <t>ยกระดับบริการสนับสนุนและประสบการณ์ผู้ป่วย ซึ่งช่วยรักษาฐานลูกค้า</t>
        </is>
      </c>
      <c r="I11" s="15" t="inlineStr">
        <is>
          <t>จัดกำลังและทรัพยากรตาม demand ลด overtime งานค้าง และการทำรายงานมือ</t>
        </is>
      </c>
      <c r="J11" s="15" t="inlineStr">
        <is>
          <t>ใช้เป็นมาตรฐาน Service Operations ร่วมกันทั้ง 8 หน่วยงาน</t>
        </is>
      </c>
      <c r="K11" s="19" t="n">
        <v>4</v>
      </c>
      <c r="L11" s="19" t="n">
        <v>4</v>
      </c>
      <c r="M11" s="19" t="n">
        <v>3</v>
      </c>
      <c r="N11" s="15" t="inlineStr">
        <is>
          <t>Medium</t>
        </is>
      </c>
      <c r="O11" s="15">
        <f>ROUND(K11*0.45+L11*0.35+M11*0.20-IF(N11="Low",0,IF(N11="Medium",0.15,IF(N11="High",0.35,0.75))),2)</f>
        <v/>
      </c>
      <c r="P11" s="15">
        <f>IF(O11&gt;=4.2,"Wave 1 - Quick win",IF(O11&gt;=3.6,"Wave 2 - Validate","Wave 3 - Foundation"))</f>
        <v/>
      </c>
      <c r="Q11" s="15" t="inlineStr">
        <is>
          <t>SLA compliance; overtime; incident closure; cost/unit; reporting hours</t>
        </is>
      </c>
      <c r="R11" s="15" t="inlineStr">
        <is>
          <t>นำเข้า Daily KPI 8 หน่วยงาน → แจ้ง 3 จุดผิดปกติ → สร้าง Action Plan รายผู้รับผิดชอบ</t>
        </is>
      </c>
    </row>
    <row r="12" ht="95" customHeight="1">
      <c r="B12" s="15" t="inlineStr">
        <is>
          <t>พรพิรุณ วงษ์วรางกูร</t>
        </is>
      </c>
      <c r="C12" s="15" t="inlineStr">
        <is>
          <t>9004497</t>
        </is>
      </c>
      <c r="D12" s="15" t="inlineStr">
        <is>
          <t>Facilities &amp; Support Services Manager
Facilities &amp; Support Services Division</t>
        </is>
      </c>
      <c r="E12" s="15" t="inlineStr">
        <is>
          <t>Facilities, Linen &amp; Compliance Operations Hub</t>
        </is>
      </c>
      <c r="F12" s="15" t="inlineStr">
        <is>
          <t>งานผ้า PR น้ำยา ห้องพร้อม แจ้งซ่อม Vendor และขยะติดเชื้อทำด้วยมือและต้องประสานหลายฝ่าย</t>
        </is>
      </c>
      <c r="G12" s="15" t="inlineStr">
        <is>
          <t>ลดรายจ่าย</t>
        </is>
      </c>
      <c r="H12" s="15" t="inlineStr">
        <is>
          <t>เพิ่มความพร้อมห้อง ลดเวลารอรับผู้ป่วยและป้องกันเสียโอกาสจากห้องไม่พร้อม</t>
        </is>
      </c>
      <c r="I12" s="15" t="inlineStr">
        <is>
          <t>ลดการสูญหาย/ชำรุด ลด stock เกิน ลดเวลาทำ PR และติดตามงานซ่อม</t>
        </is>
      </c>
      <c r="J12" s="15" t="inlineStr">
        <is>
          <t>สร้างข้อมูลต้นทุนและ SLA ราย Ward/Vendor เพื่อเจรจาและปรับปรุงบริการ</t>
        </is>
      </c>
      <c r="K12" s="19" t="n">
        <v>5</v>
      </c>
      <c r="L12" s="19" t="n">
        <v>4</v>
      </c>
      <c r="M12" s="19" t="n">
        <v>4</v>
      </c>
      <c r="N12" s="15" t="inlineStr">
        <is>
          <t>Medium</t>
        </is>
      </c>
      <c r="O12" s="15">
        <f>ROUND(K12*0.45+L12*0.35+M12*0.20-IF(N12="Low",0,IF(N12="Medium",0.15,IF(N12="High",0.35,0.75))),2)</f>
        <v/>
      </c>
      <c r="P12" s="15">
        <f>IF(O12&gt;=4.2,"Wave 1 - Quick win",IF(O12&gt;=3.6,"Wave 2 - Validate","Wave 3 - Foundation"))</f>
        <v/>
      </c>
      <c r="Q12" s="15" t="inlineStr">
        <is>
          <t>Room-ready time; linen loss rate; stockout; maintenance closure; PR preparation time</t>
        </is>
      </c>
      <c r="R12" s="15" t="inlineStr">
        <is>
          <t>สแกน QR ห้องตัวอย่าง → ตรวจ 10 จุด → เปิดงานซ่อม → อัปเดตสถานะ → สรุปผ้าและ PR</t>
        </is>
      </c>
    </row>
    <row r="13" ht="95" customHeight="1">
      <c r="B13" s="15" t="inlineStr">
        <is>
          <t>วรจันทร์ สุตันตานนท์</t>
        </is>
      </c>
      <c r="C13" s="15" t="inlineStr">
        <is>
          <t>9003938</t>
        </is>
      </c>
      <c r="D13" s="15" t="inlineStr">
        <is>
          <t>Patient &amp; Relative Service Apartment Manager
Ward B</t>
        </is>
      </c>
      <c r="E13" s="15" t="inlineStr">
        <is>
          <t>Residence Booking, Service &amp; Smart Upsell Desk</t>
        </is>
      </c>
      <c r="F13" s="15" t="inlineStr">
        <is>
          <t>การจอง เช็คอิน/เอาท์ ห้องพร้อม การชำระเงิน ข้อร้องเรียนและแจ้งซ่อมอยู่หลายขั้นตอน</t>
        </is>
      </c>
      <c r="G13" s="15" t="inlineStr">
        <is>
          <t>รายได้ + ลดรายจ่าย</t>
        </is>
      </c>
      <c r="H13" s="15" t="inlineStr">
        <is>
          <t>เพิ่ม occupancy, ลดห้องว่างจากข้อมูลไม่ทัน, เสนอแพ็กเกจพัก/บริการที่เหมาะสมโดยให้คนอนุมัติ</t>
        </is>
      </c>
      <c r="I13" s="15" t="inlineStr">
        <is>
          <t>ลดงานตอบแชท/อีเมล รายงานประจำวัน และการประสานแจ้งซ่อม</t>
        </is>
      </c>
      <c r="J13" s="15" t="inlineStr">
        <is>
          <t>รองรับลูกค้าต่างชาติด้วยข้อความหลายภาษาและ pre-arrival service</t>
        </is>
      </c>
      <c r="K13" s="19" t="n">
        <v>4</v>
      </c>
      <c r="L13" s="19" t="n">
        <v>5</v>
      </c>
      <c r="M13" s="19" t="n">
        <v>4</v>
      </c>
      <c r="N13" s="15" t="inlineStr">
        <is>
          <t>Medium</t>
        </is>
      </c>
      <c r="O13" s="15">
        <f>ROUND(K13*0.45+L13*0.35+M13*0.20-IF(N13="Low",0,IF(N13="Medium",0.15,IF(N13="High",0.35,0.75))),2)</f>
        <v/>
      </c>
      <c r="P13" s="15">
        <f>IF(O13&gt;=4.2,"Wave 1 - Quick win",IF(O13&gt;=3.6,"Wave 2 - Validate","Wave 3 - Foundation"))</f>
        <v/>
      </c>
      <c r="Q13" s="15" t="inlineStr">
        <is>
          <t>Occupancy; room revenue; inquiry-to-booking; turnaround; complaint resolution</t>
        </is>
      </c>
      <c r="R13" s="15" t="inlineStr">
        <is>
          <t>ค้นหาห้อง → จอง → ร่างข้อความ 2 ภาษา → check-in → แจ้งซ่อม → daily close</t>
        </is>
      </c>
    </row>
    <row r="14" ht="95" customHeight="1">
      <c r="B14" s="15" t="inlineStr">
        <is>
          <t>หงษ์ฟ้า สายแวว</t>
        </is>
      </c>
      <c r="C14" s="15" t="inlineStr">
        <is>
          <t>9002717</t>
        </is>
      </c>
      <c r="D14" s="15" t="inlineStr">
        <is>
          <t>Assistant ASD Manager
Ancillary Support Service Department</t>
        </is>
      </c>
      <c r="E14" s="15" t="inlineStr">
        <is>
          <t>ASD Admin Autopilot</t>
        </is>
      </c>
      <c r="F14" s="15" t="inlineStr">
        <is>
          <t>เบิกจ่ายรถตู้ ตารางเวร KPI และ PR ต้องคีย์ซ้ำและรวมรายงานด้วยมือ</t>
        </is>
      </c>
      <c r="G14" s="15" t="inlineStr">
        <is>
          <t>ลดรายจ่าย</t>
        </is>
      </c>
      <c r="H14" s="15" t="inlineStr">
        <is>
          <t>สนับสนุนบริการรับส่งที่ตรงเวลา ลดประสบการณ์เสียและการยกเลิก</t>
        </is>
      </c>
      <c r="I14" s="15" t="inlineStr">
        <is>
          <t>ลดเวลาคีย์ซ้ำ ตรวจยอดค่าใช้จ่าย และจัดทำตารางเวร/KPI</t>
        </is>
      </c>
      <c r="J14" s="15" t="inlineStr">
        <is>
          <t>เป็นต้นแบบ digitize งานธุรการให้หน่วยสนับสนุนอื่น</t>
        </is>
      </c>
      <c r="K14" s="19" t="n">
        <v>3</v>
      </c>
      <c r="L14" s="19" t="n">
        <v>5</v>
      </c>
      <c r="M14" s="19" t="n">
        <v>5</v>
      </c>
      <c r="N14" s="15" t="inlineStr">
        <is>
          <t>Low</t>
        </is>
      </c>
      <c r="O14" s="15">
        <f>ROUND(K14*0.45+L14*0.35+M14*0.20-IF(N14="Low",0,IF(N14="Medium",0.15,IF(N14="High",0.35,0.75))),2)</f>
        <v/>
      </c>
      <c r="P14" s="15">
        <f>IF(O14&gt;=4.2,"Wave 1 - Quick win",IF(O14&gt;=3.6,"Wave 2 - Validate","Wave 3 - Foundation"))</f>
        <v/>
      </c>
      <c r="Q14" s="15" t="inlineStr">
        <is>
          <t>Admin hours; duplicate/error rate; overtime; PR cycle time; on-time report</t>
        </is>
      </c>
      <c r="R14" s="15" t="inlineStr">
        <is>
          <t>กรอกเที่ยวรถ 10 รายการ → ตรวจซ้ำ → สร้างสรุปเบิก → ทำเวร 1 สัปดาห์ → export KPI</t>
        </is>
      </c>
    </row>
    <row r="15" ht="95" customHeight="1">
      <c r="B15" s="15" t="inlineStr">
        <is>
          <t>ณิชา ขำสุนทร</t>
        </is>
      </c>
      <c r="C15" s="15" t="inlineStr">
        <is>
          <t>9009090</t>
        </is>
      </c>
      <c r="D15" s="15" t="inlineStr">
        <is>
          <t>Customer Service Supervisor
Customer Service Section</t>
        </is>
      </c>
      <c r="E15" s="15" t="inlineStr">
        <is>
          <t>Front Desk Readiness Assistant</t>
        </is>
      </c>
      <c r="F15" s="15" t="inlineStr">
        <is>
          <t>ลงทะเบียน เช็กสิทธิ์ เช็กนัด และแก้ข้อมูลต้องสลับหน้าจอและเกิดข้อมูลไม่ครบ/คิวรอ</t>
        </is>
      </c>
      <c r="G15" s="15" t="inlineStr">
        <is>
          <t>รายได้ + ลดรายจ่าย</t>
        </is>
      </c>
      <c r="H15" s="15" t="inlineStr">
        <is>
          <t>ลดการหลุดจากคิวและเพิ่ม conversion ของผู้ป่วยที่ติดต่อก่อนมา</t>
        </is>
      </c>
      <c r="I15" s="15" t="inlineStr">
        <is>
          <t>ลด rework จากข้อมูลไม่ครบและลดเวลาค้นหาขั้นตอน/สคริปต์ตอบคำถาม</t>
        </is>
      </c>
      <c r="J15" s="15" t="inlineStr">
        <is>
          <t>สร้าง pre-arrival checklist หลายภาษาให้ผู้ป่วยต่างชาติ</t>
        </is>
      </c>
      <c r="K15" s="19" t="n">
        <v>4</v>
      </c>
      <c r="L15" s="19" t="n">
        <v>4</v>
      </c>
      <c r="M15" s="19" t="n">
        <v>3</v>
      </c>
      <c r="N15" s="15" t="inlineStr">
        <is>
          <t>High</t>
        </is>
      </c>
      <c r="O15" s="15">
        <f>ROUND(K15*0.45+L15*0.35+M15*0.20-IF(N15="Low",0,IF(N15="Medium",0.15,IF(N15="High",0.35,0.75))),2)</f>
        <v/>
      </c>
      <c r="P15" s="15">
        <f>IF(O15&gt;=4.2,"Wave 1 - Quick win",IF(O15&gt;=3.6,"Wave 2 - Validate","Wave 3 - Foundation"))</f>
        <v/>
      </c>
      <c r="Q15" s="15" t="inlineStr">
        <is>
          <t>Registration time; incomplete records; rework; waiting time; no-show</t>
        </is>
      </c>
      <c r="R15" s="15" t="inlineStr">
        <is>
          <t>เลือกผู้ป่วยจำลอง → ตรวจนัด/เอกสาร → แจ้งสิ่งที่ขาด → สร้างข้อความเตรียมตัวก่อนมา</t>
        </is>
      </c>
    </row>
    <row r="16" ht="95" customHeight="1">
      <c r="B16" s="15" t="inlineStr">
        <is>
          <t>ธนพงศ์ อุ่นศิริ</t>
        </is>
      </c>
      <c r="C16" s="15" t="inlineStr">
        <is>
          <t>9009230</t>
        </is>
      </c>
      <c r="D16" s="15" t="inlineStr">
        <is>
          <t>Deputy Chef
Catering Services Unit</t>
        </is>
      </c>
      <c r="E16" s="15" t="inlineStr">
        <is>
          <t>Kitchen Cost, Inventory &amp; Waste Planner</t>
        </is>
      </c>
      <c r="F16" s="15" t="inlineStr">
        <is>
          <t>ตารางงาน สูตรอาหาร เบิกจ่ายวัตถุดิบ ต้นทุนและสั่งซื้อยังซ้ำซ้อน/เขียนมือ</t>
        </is>
      </c>
      <c r="G16" s="15" t="inlineStr">
        <is>
          <t>ลดรายจ่าย + ขยายโอกาส</t>
        </is>
      </c>
      <c r="H16" s="15" t="inlineStr">
        <is>
          <t>ต่อยอดแพ็กเกจอาหารเฉพาะกลุ่มหรือบริการ Catering โดยรู้ต้นทุนและกำลังผลิต</t>
        </is>
      </c>
      <c r="I16" s="15" t="inlineStr">
        <is>
          <t>ลด food waste, stockout, ซื้อเกิน และเวลาเอกสาร; คุมต้นทุนต่อ portion</t>
        </is>
      </c>
      <c r="J16" s="15" t="inlineStr">
        <is>
          <t>สร้างมาตรฐานสูตรและ traceability พร้อมวิเคราะห์เมนูต้นทุนสูง</t>
        </is>
      </c>
      <c r="K16" s="19" t="n">
        <v>5</v>
      </c>
      <c r="L16" s="19" t="n">
        <v>5</v>
      </c>
      <c r="M16" s="19" t="n">
        <v>4</v>
      </c>
      <c r="N16" s="15" t="inlineStr">
        <is>
          <t>Medium</t>
        </is>
      </c>
      <c r="O16" s="15">
        <f>ROUND(K16*0.45+L16*0.35+M16*0.20-IF(N16="Low",0,IF(N16="Medium",0.15,IF(N16="High",0.35,0.75))),2)</f>
        <v/>
      </c>
      <c r="P16" s="15">
        <f>IF(O16&gt;=4.2,"Wave 1 - Quick win",IF(O16&gt;=3.6,"Wave 2 - Validate","Wave 3 - Foundation"))</f>
        <v/>
      </c>
      <c r="Q16" s="15" t="inlineStr">
        <is>
          <t>Food cost/meal; waste %; stockout; inventory days; admin hours</t>
        </is>
      </c>
      <c r="R16" s="15" t="inlineStr">
        <is>
          <t>สร้างสูตร 3 เมนู → รับสต๊อก → ระบุ 100 มื้อ → คำนวณเบิก/สั่งซื้อ → บันทึกของเสีย</t>
        </is>
      </c>
    </row>
    <row r="17" ht="95" customHeight="1">
      <c r="B17" s="15" t="inlineStr">
        <is>
          <t>จันทนา ธรรมาธร</t>
        </is>
      </c>
      <c r="C17" s="15" t="inlineStr">
        <is>
          <t>9000095</t>
        </is>
      </c>
      <c r="D17" s="15" t="inlineStr">
        <is>
          <t>Assistant COO - Patient Access and Payer Coordination
Patient Access and Payer Coordination Division</t>
        </is>
      </c>
      <c r="E17" s="15" t="inlineStr">
        <is>
          <t>Patient Access &amp; Payer Flow Executive Cockpit</t>
        </is>
      </c>
      <c r="F17" s="15" t="inlineStr">
        <is>
          <t>ผู้บริหารต้องเห็นคิวงานตั้งแต่ access, insurance, guarantee, admission ถึง billing เพื่อหาคอขวดและ revenue leakage</t>
        </is>
      </c>
      <c r="G17" s="15" t="inlineStr">
        <is>
          <t>รายได้ + ลดรายจ่าย</t>
        </is>
      </c>
      <c r="H17" s="15" t="inlineStr">
        <is>
          <t>เร่ง authorization/guarantee, ลดเคสตกหล่น และเพิ่ม conversion inquiry-to-admission</t>
        </is>
      </c>
      <c r="I17" s="15" t="inlineStr">
        <is>
          <t>ลด backlog, rework และเวลารวมรายงานข้ามทีม</t>
        </is>
      </c>
      <c r="J17" s="15" t="inlineStr">
        <is>
          <t>วาง SLA กลางและ capacity plan ระหว่าง Patient Access, Payer, International และ Admission</t>
        </is>
      </c>
      <c r="K17" s="19" t="n">
        <v>5</v>
      </c>
      <c r="L17" s="19" t="n">
        <v>3</v>
      </c>
      <c r="M17" s="19" t="n">
        <v>3</v>
      </c>
      <c r="N17" s="15" t="inlineStr">
        <is>
          <t>High</t>
        </is>
      </c>
      <c r="O17" s="15">
        <f>ROUND(K17*0.45+L17*0.35+M17*0.20-IF(N17="Low",0,IF(N17="Medium",0.15,IF(N17="High",0.35,0.75))),2)</f>
        <v/>
      </c>
      <c r="P17" s="15">
        <f>IF(O17&gt;=4.2,"Wave 1 - Quick win",IF(O17&gt;=3.6,"Wave 2 - Validate","Wave 3 - Foundation"))</f>
        <v/>
      </c>
      <c r="Q17" s="15" t="inlineStr">
        <is>
          <t>Inquiry conversion; authorization TAT; admission conversion; denial; days to guarantee/bill</t>
        </is>
      </c>
      <c r="R17" s="15" t="inlineStr">
        <is>
          <t>นำเข้าเคสจำลอง 100 เคส → แสดง Funnel/Aging → เลือก 10 เคสเสี่ยง → สร้าง escalation brief</t>
        </is>
      </c>
    </row>
    <row r="18" ht="95" customHeight="1">
      <c r="B18" s="15" t="inlineStr">
        <is>
          <t>ธีรกานต์ บุญประเสริฐ</t>
        </is>
      </c>
      <c r="C18" s="15" t="inlineStr">
        <is>
          <t>9005099</t>
        </is>
      </c>
      <c r="D18" s="15" t="inlineStr">
        <is>
          <t>Medical Coordination Department Manager
International Medical Coordination Department</t>
        </is>
      </c>
      <c r="E18" s="15" t="inlineStr">
        <is>
          <t>International Guarantee &amp; Medical Inquiry Copilot</t>
        </is>
      </c>
      <c r="F18" s="15" t="inlineStr">
        <is>
          <t>เอกสาร guarantee/inquiry/medical report เข้าจำนวนมาก ต้องดึงข้อมูล ตรวจความครบ และติดตามหลายฝ่าย</t>
        </is>
      </c>
      <c r="G18" s="15" t="inlineStr">
        <is>
          <t>รายได้ + ลดรายจ่าย</t>
        </is>
      </c>
      <c r="H18" s="15" t="inlineStr">
        <is>
          <t>ลดเวลารอ guarantee และ inquiry ทำให้ปิดเคสต่างประเทศเร็วขึ้นและลดรายได้ค้าง</t>
        </is>
      </c>
      <c r="I18" s="15" t="inlineStr">
        <is>
          <t>ลดเวลาอ่านเอกสาร คีย์ข้อมูล ร่างตอบ และติดตามต่อ guarantee</t>
        </is>
      </c>
      <c r="J18" s="15" t="inlineStr">
        <is>
          <t>รองรับ payer/สถานทูตหลายภาษาและเพิ่ม capacity โดยไม่เพิ่มงานเอกสารตามสัดส่วน</t>
        </is>
      </c>
      <c r="K18" s="19" t="n">
        <v>5</v>
      </c>
      <c r="L18" s="19" t="n">
        <v>4</v>
      </c>
      <c r="M18" s="19" t="n">
        <v>3</v>
      </c>
      <c r="N18" s="15" t="inlineStr">
        <is>
          <t>High</t>
        </is>
      </c>
      <c r="O18" s="15">
        <f>ROUND(K18*0.45+L18*0.35+M18*0.20-IF(N18="Low",0,IF(N18="Medium",0.15,IF(N18="High",0.35,0.75))),2)</f>
        <v/>
      </c>
      <c r="P18" s="15">
        <f>IF(O18&gt;=4.2,"Wave 1 - Quick win",IF(O18&gt;=3.6,"Wave 2 - Validate","Wave 3 - Foundation"))</f>
        <v/>
      </c>
      <c r="Q18" s="15" t="inlineStr">
        <is>
          <t>Guarantee TAT; missing-document rate; pending amount; inquiry conversion; staff hours/case</t>
        </is>
      </c>
      <c r="R18" s="15" t="inlineStr">
        <is>
          <t>อัปโหลด guarantee จำลอง → ดึงข้อมูล → แจ้งสิ่งขาด/วันหมดอายุ → ร่าง follow-up และ case summary</t>
        </is>
      </c>
    </row>
    <row r="19" ht="95" customHeight="1">
      <c r="B19" s="15" t="inlineStr">
        <is>
          <t>ภคอร เทียบรัตน์</t>
        </is>
      </c>
      <c r="C19" s="15" t="inlineStr">
        <is>
          <t>9010641</t>
        </is>
      </c>
      <c r="D19" s="15" t="inlineStr">
        <is>
          <t>Referral &amp; Aviation Manager
Referral Aviation and Admission Section</t>
        </is>
      </c>
      <c r="E19" s="15" t="inlineStr">
        <is>
          <t>Referral &amp; Aviation Case Pack Generator</t>
        </is>
      </c>
      <c r="F19" s="15" t="inlineStr">
        <is>
          <t>ต้องอ่านหลายไฟล์ ตรวจเวชระเบียน/เอกสาร TARMAC ประเมินราคา ทำคำร้อง และสรุป presentation ซ้ำ</t>
        </is>
      </c>
      <c r="G19" s="15" t="inlineStr">
        <is>
          <t>รายได้ + ลดรายจ่าย</t>
        </is>
      </c>
      <c r="H19" s="15" t="inlineStr">
        <is>
          <t>ตอบ Referral/V-Flight เร็วขึ้น เพิ่มโอกาสรับเคสและลดเคสหลุดระหว่างประสานงาน</t>
        </is>
      </c>
      <c r="I19" s="15" t="inlineStr">
        <is>
          <t>ลดเวลาอ่านไฟล์ ตรวจเอกสาร สร้างคำร้อง/ราคา และทำรายงาน</t>
        </is>
      </c>
      <c r="J19" s="15" t="inlineStr">
        <is>
          <t>สร้างบริการ quotation turnaround เร็วและมาตรฐาน case pack สำหรับคู่ค้าต่างประเทศ</t>
        </is>
      </c>
      <c r="K19" s="19" t="n">
        <v>5</v>
      </c>
      <c r="L19" s="19" t="n">
        <v>4</v>
      </c>
      <c r="M19" s="19" t="n">
        <v>3</v>
      </c>
      <c r="N19" s="15" t="inlineStr">
        <is>
          <t>High</t>
        </is>
      </c>
      <c r="O19" s="15">
        <f>ROUND(K19*0.45+L19*0.35+M19*0.20-IF(N19="Low",0,IF(N19="Medium",0.15,IF(N19="High",0.35,0.75))),2)</f>
        <v/>
      </c>
      <c r="P19" s="15">
        <f>IF(O19&gt;=4.2,"Wave 1 - Quick win",IF(O19&gt;=3.6,"Wave 2 - Validate","Wave 3 - Foundation"))</f>
        <v/>
      </c>
      <c r="Q19" s="15" t="inlineStr">
        <is>
          <t>Inquiry response time; document completeness; quote TAT; referral conversion; prep hours</t>
        </is>
      </c>
      <c r="R19" s="15" t="inlineStr">
        <is>
          <t>ลาก 4 ไฟล์จำลอง → ระบบจัดประเภท/ตรวจช่องว่าง → สร้างคำร้องและราคา → export brief</t>
        </is>
      </c>
    </row>
    <row r="20" ht="95" customHeight="1">
      <c r="B20" s="15" t="inlineStr">
        <is>
          <t>ภัทราวุธ อริยพฤกษ์ (บอส)</t>
        </is>
      </c>
      <c r="C20" s="15" t="inlineStr">
        <is>
          <t>9011021</t>
        </is>
      </c>
      <c r="D20" s="15" t="inlineStr">
        <is>
          <t>Data Scientist
Data Driven Department</t>
        </is>
      </c>
      <c r="E20" s="15" t="inlineStr">
        <is>
          <t>Safe Document Intelligence Workbench</t>
        </is>
      </c>
      <c r="F20" s="15" t="inlineStr">
        <is>
          <t>แต่ละ Use Case สร้าง pipeline อ่าน PDF/ตัดคำต้องห้าม/สรุปรายงานใหม่ ทำให้พัฒนาและตรวจคุณภาพซ้ำ</t>
        </is>
      </c>
      <c r="G20" s="15" t="inlineStr">
        <is>
          <t>ลดรายจ่าย + ขยายโอกาส</t>
        </is>
      </c>
      <c r="H20" s="15" t="inlineStr">
        <is>
          <t>เร่งส่งมอบ internal product ที่สนับสนุน Referral, Insurance และ International revenue cycle</t>
        </is>
      </c>
      <c r="I20" s="15" t="inlineStr">
        <is>
          <t>ลดเวลาพัฒนา pipeline ซ้ำและลด defect จาก prompt/model เปลี่ยน</t>
        </is>
      </c>
      <c r="J20" s="15" t="inlineStr">
        <is>
          <t>สร้าง reusable platform ให้หน่วยงานประกอบ workflow เอกสารได้แบบมี guardrail</t>
        </is>
      </c>
      <c r="K20" s="19" t="n">
        <v>4</v>
      </c>
      <c r="L20" s="19" t="n">
        <v>4</v>
      </c>
      <c r="M20" s="19" t="n">
        <v>4</v>
      </c>
      <c r="N20" s="15" t="inlineStr">
        <is>
          <t>Medium</t>
        </is>
      </c>
      <c r="O20" s="15">
        <f>ROUND(K20*0.45+L20*0.35+M20*0.20-IF(N20="Low",0,IF(N20="Medium",0.15,IF(N20="High",0.35,0.75))),2)</f>
        <v/>
      </c>
      <c r="P20" s="15">
        <f>IF(O20&gt;=4.2,"Wave 1 - Quick win",IF(O20&gt;=3.6,"Wave 2 - Validate","Wave 3 - Foundation"))</f>
        <v/>
      </c>
      <c r="Q20" s="15" t="inlineStr">
        <is>
          <t>Development lead time; extraction accuracy; review time; reuse rate; production defects</t>
        </is>
      </c>
      <c r="R20" s="15" t="inlineStr">
        <is>
          <t>เพิ่ม schema ใหม่ → รัน PDF test set → เปรียบเทียบ output → reviewer approve → export JSON</t>
        </is>
      </c>
    </row>
    <row r="21" ht="95" customHeight="1">
      <c r="B21" s="15" t="inlineStr">
        <is>
          <t>ศลิษา โพธิ์สิทธิ์ (อุ่น)</t>
        </is>
      </c>
      <c r="C21" s="15" t="inlineStr">
        <is>
          <t>9011022</t>
        </is>
      </c>
      <c r="D21" s="15" t="inlineStr">
        <is>
          <t>Data Scientist
Data Driven Department</t>
        </is>
      </c>
      <c r="E21" s="15" t="inlineStr">
        <is>
          <t>Agentic Analytics Factory</t>
        </is>
      </c>
      <c r="F21" s="15" t="inlineStr">
        <is>
          <t>คำขอวิเคราะห์/ML/web app ต้องผ่านหลายขั้นตอนตั้งแต่ requirement, data QA, code, test, dashboard และเอกสาร</t>
        </is>
      </c>
      <c r="G21" s="15" t="inlineStr">
        <is>
          <t>ลดรายจ่าย + ขยายโอกาส</t>
        </is>
      </c>
      <c r="H21" s="15" t="inlineStr">
        <is>
          <t>เร่งผลิต analytics product ที่ช่วยหน่วยธุรกิจสร้างรายได้</t>
        </is>
      </c>
      <c r="I21" s="15" t="inlineStr">
        <is>
          <t>ลด cycle time และงานซ้ำของ data scientist โดยใช้ subagents แยกบทบาท</t>
        </is>
      </c>
      <c r="J21" s="15" t="inlineStr">
        <is>
          <t>ยกระดับทีมเป็น internal AI product factory พร้อมมาตรฐานและ reusable skills</t>
        </is>
      </c>
      <c r="K21" s="19" t="n">
        <v>4</v>
      </c>
      <c r="L21" s="19" t="n">
        <v>3</v>
      </c>
      <c r="M21" s="19" t="n">
        <v>3</v>
      </c>
      <c r="N21" s="15" t="inlineStr">
        <is>
          <t>Medium</t>
        </is>
      </c>
      <c r="O21" s="15">
        <f>ROUND(K21*0.45+L21*0.35+M21*0.20-IF(N21="Low",0,IF(N21="Medium",0.15,IF(N21="High",0.35,0.75))),2)</f>
        <v/>
      </c>
      <c r="P21" s="15">
        <f>IF(O21&gt;=4.2,"Wave 1 - Quick win",IF(O21&gt;=3.6,"Wave 2 - Validate","Wave 3 - Foundation"))</f>
        <v/>
      </c>
      <c r="Q21" s="15" t="inlineStr">
        <is>
          <t>Lead time; rework; test coverage; reuse; user acceptance; incidents</t>
        </is>
      </c>
      <c r="R21" s="15" t="inlineStr">
        <is>
          <t>ส่ง analytics brief → agent แยกงาน → ตรวจ data → สร้าง dashboard → reviewer test → ส่ง artifacts</t>
        </is>
      </c>
    </row>
    <row r="22" ht="95" customHeight="1">
      <c r="B22" s="15" t="inlineStr">
        <is>
          <t>นายจิรภัทร รุ่งเนย (แอม)</t>
        </is>
      </c>
      <c r="C22" s="15" t="inlineStr">
        <is>
          <t>9011200</t>
        </is>
      </c>
      <c r="D22" s="15" t="inlineStr">
        <is>
          <t>Pharmacist 1
Pharmacy Operation Services - IPD Section</t>
        </is>
      </c>
      <c r="E22" s="15" t="inlineStr">
        <is>
          <t>Clinical Pharmacy Evidence &amp; Counseling Assistant</t>
        </is>
      </c>
      <c r="F22" s="15" t="inlineStr">
        <is>
          <t>ต้องค้น guideline/drug information ทบทวนประเด็นยา และจัดทำคำแนะนำผู้ป่วยภายใต้เวลาจำกัด</t>
        </is>
      </c>
      <c r="G22" s="15" t="inlineStr">
        <is>
          <t>ลดรายจ่าย + คุณภาพ/ความปลอดภัย</t>
        </is>
      </c>
      <c r="H22" s="15" t="inlineStr">
        <is>
          <t>เสริมความเชื่อมั่นและคุณภาพบริการเฉพาะทาง โดยไม่อ้างว่า AI วินิจฉัยหรือสั่งยา</t>
        </is>
      </c>
      <c r="I22" s="15" t="inlineStr">
        <is>
          <t>ลดเวลาค้นเอกสารและร่าง counseling/clinical note; ป้องกัน rework จากข้อมูลไม่ครบ</t>
        </is>
      </c>
      <c r="J22" s="15" t="inlineStr">
        <is>
          <t>สร้างคลังความรู้เภสัชกรรมที่อ้างอิงได้และใช้ฝึกบุคลากร</t>
        </is>
      </c>
      <c r="K22" s="19" t="n">
        <v>5</v>
      </c>
      <c r="L22" s="19" t="n">
        <v>3</v>
      </c>
      <c r="M22" s="19" t="n">
        <v>2</v>
      </c>
      <c r="N22" s="15" t="inlineStr">
        <is>
          <t>Very High</t>
        </is>
      </c>
      <c r="O22" s="15">
        <f>ROUND(K22*0.45+L22*0.35+M22*0.20-IF(N22="Low",0,IF(N22="Medium",0.15,IF(N22="High",0.35,0.75))),2)</f>
        <v/>
      </c>
      <c r="P22" s="15">
        <f>IF(O22&gt;=4.2,"Wave 1 - Quick win",IF(O22&gt;=3.6,"Wave 2 - Validate","Wave 3 - Foundation"))</f>
        <v/>
      </c>
      <c r="Q22" s="15" t="inlineStr">
        <is>
          <t>Search time; citation completeness; pharmacist edit rate; counseling consistency; safety incidents</t>
        </is>
      </c>
      <c r="R22" s="15" t="inlineStr">
        <is>
          <t>เลือกเคสสังเคราะห์ → ค้น approved docs → แสดง evidence/citations → สร้าง counseling draft → เภสัชกรแก้/อนุมัติ</t>
        </is>
      </c>
    </row>
    <row r="23" ht="95" customHeight="1">
      <c r="B23" s="15" t="inlineStr">
        <is>
          <t>แก้วใจ มโนวิไลกุล (เม่ย)</t>
        </is>
      </c>
      <c r="C23" s="15" t="inlineStr">
        <is>
          <t>9002555</t>
        </is>
      </c>
      <c r="D23" s="15" t="inlineStr">
        <is>
          <t>Data Governance &amp; Business Insights Section Manager
Data Governance &amp; Business Insights (CDP / BI)</t>
        </is>
      </c>
      <c r="E23" s="15" t="inlineStr">
        <is>
          <t>Hospital Data Access &amp; KPI Orchestrator</t>
        </is>
      </c>
      <c r="F23" s="15" t="inlineStr">
        <is>
          <t>คำขอข้อมูลและนิยาม KPI ต้องประสาน owner/approval/คุณภาพ/lineage หลายขั้น ทำให้ BI และ AI project ช้า</t>
        </is>
      </c>
      <c r="G23" s="15" t="inlineStr">
        <is>
          <t>ลดรายจ่าย + ขยายโอกาส</t>
        </is>
      </c>
      <c r="H23" s="15" t="inlineStr">
        <is>
          <t>เร่ง time-to-insight สำหรับ growth, payer และ international use cases</t>
        </is>
      </c>
      <c r="I23" s="15" t="inlineStr">
        <is>
          <t>ลดเวลาตามคำขอข้อมูล แก้ KPI ไม่ตรงกัน และงานตรวจคุณภาพซ้ำ</t>
        </is>
      </c>
      <c r="J23" s="15" t="inlineStr">
        <is>
          <t>สร้าง governance backbone ให้ AI agents ใช้ข้อมูลตามสิทธิ์และนิยามเดียวกัน</t>
        </is>
      </c>
      <c r="K23" s="19" t="n">
        <v>5</v>
      </c>
      <c r="L23" s="19" t="n">
        <v>3</v>
      </c>
      <c r="M23" s="19" t="n">
        <v>3</v>
      </c>
      <c r="N23" s="15" t="inlineStr">
        <is>
          <t>High</t>
        </is>
      </c>
      <c r="O23" s="15">
        <f>ROUND(K23*0.45+L23*0.35+M23*0.20-IF(N23="Low",0,IF(N23="Medium",0.15,IF(N23="High",0.35,0.75))),2)</f>
        <v/>
      </c>
      <c r="P23" s="15">
        <f>IF(O23&gt;=4.2,"Wave 1 - Quick win",IF(O23&gt;=3.6,"Wave 2 - Validate","Wave 3 - Foundation"))</f>
        <v/>
      </c>
      <c r="Q23" s="15" t="inlineStr">
        <is>
          <t>Request lead time; duplicate KPI reduction; quality issues; policy compliance; data reuse</t>
        </is>
      </c>
      <c r="R23" s="15" t="inlineStr">
        <is>
          <t>ยื่นคำขอข้อมูลจำลอง → classify → route owner → ตรวจ DQ → ออก data contract → บันทึก lineage</t>
        </is>
      </c>
    </row>
  </sheetData>
  <autoFilter ref="B6:R23"/>
  <mergeCells count="3">
    <mergeCell ref="B5:R5"/>
    <mergeCell ref="B2:R2"/>
    <mergeCell ref="B3:R3"/>
  </mergeCells>
  <conditionalFormatting sqref="N7:N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M7:M23" showDropDown="0" showInputMessage="0" showErrorMessage="0" allowBlank="0" type="list">
      <formula1>"Low,Medium,High,Very High"</formula1>
    </dataValidation>
    <dataValidation sqref="J7:L23" showDropDown="0" showInputMessage="0" showErrorMessage="0" allowBlank="0" type="whole" operator="between">
      <formula1>1</formula1>
      <formula2>5</formula2>
    </dataValidation>
  </dataValidations>
  <pageMargins left="0.25" right="0.25" top="0.5" bottom="0.5" header="0.5" footer="0.5"/>
  <pageSetup fitToHeight="0" fitToWidth="1"/>
  <headerFooter>
    <oddHeader/>
    <oddFooter>&amp;C&amp;8 &amp;K7F7F7FVejthani × Google Antigravity | Generated 20 Sep 2026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L23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3" customWidth="1" min="2" max="2"/>
    <col width="32" customWidth="1" min="3" max="3"/>
    <col width="37" customWidth="1" min="4" max="4"/>
    <col width="42" customWidth="1" min="5" max="5"/>
    <col width="32" customWidth="1" min="6" max="6"/>
    <col width="32" customWidth="1" min="7" max="7"/>
    <col width="31" customWidth="1" min="8" max="8"/>
    <col width="31" customWidth="1" min="9" max="9"/>
    <col width="37" customWidth="1" min="10" max="10"/>
    <col width="37" customWidth="1" min="11" max="11"/>
    <col width="65" customWidth="1" min="12" max="12"/>
  </cols>
  <sheetData>
    <row r="2" ht="34" customHeight="1">
      <c r="B2" s="1" t="inlineStr">
        <is>
          <t>Antigravity Build Briefs</t>
        </is>
      </c>
    </row>
    <row r="3" ht="28" customHeight="1">
      <c r="B3" s="2" t="inlineStr">
        <is>
          <t>แต่ละแถวมีขอบเขต MVP, ข้อมูล, Acceptance Test และ Prompt แบบ Copy-and-Paste</t>
        </is>
      </c>
    </row>
    <row r="5" ht="23" customHeight="1">
      <c r="B5" s="3" t="inlineStr">
        <is>
          <t>Build specifications</t>
        </is>
      </c>
    </row>
    <row r="6" ht="40" customHeight="1">
      <c r="B6" s="20" t="inlineStr">
        <is>
          <t>ชื่อ</t>
        </is>
      </c>
      <c r="C6" s="20" t="inlineStr">
        <is>
          <t>ระบบ</t>
        </is>
      </c>
      <c r="D6" s="20" t="inlineStr">
        <is>
          <t>ผู้ใช้/ปัญหา</t>
        </is>
      </c>
      <c r="E6" s="20" t="inlineStr">
        <is>
          <t>ฟีเจอร์ MVP</t>
        </is>
      </c>
      <c r="F6" s="20" t="inlineStr">
        <is>
          <t>ข้อมูลเข้า</t>
        </is>
      </c>
      <c r="G6" s="20" t="inlineStr">
        <is>
          <t>ผลลัพธ์</t>
        </is>
      </c>
      <c r="H6" s="20" t="inlineStr">
        <is>
          <t>Antigravity Build Pattern</t>
        </is>
      </c>
      <c r="I6" s="20" t="inlineStr">
        <is>
          <t>Phase 2 Integration</t>
        </is>
      </c>
      <c r="J6" s="20" t="inlineStr">
        <is>
          <t>Acceptance Test</t>
        </is>
      </c>
      <c r="K6" s="20" t="inlineStr">
        <is>
          <t>Risk Boundary</t>
        </is>
      </c>
      <c r="L6" s="20" t="inlineStr">
        <is>
          <t>Starter Prompt</t>
        </is>
      </c>
    </row>
    <row r="7" ht="190" customHeight="1">
      <c r="B7" s="15" t="inlineStr">
        <is>
          <t>มธุรี จงโยธา</t>
        </is>
      </c>
      <c r="C7" s="15" t="inlineStr">
        <is>
          <t>CX Strategy &amp; Agent Relationship Command Center</t>
        </is>
      </c>
      <c r="D7" s="15" t="inlineStr">
        <is>
          <t>Customer Experience Manager
ข้อมูล Agent, Referral, กิจกรรม และงานติดตามกระจายหลายไฟล์ ทำให้จัดลำดับโอกาสและมอบหมายงานช้า</t>
        </is>
      </c>
      <c r="E7" s="15" t="inlineStr">
        <is>
          <t>1) นำเข้า CSV รายชื่อ Agent/Referral
2) Dashboard Pipeline และ Agent Health
3) AI สรุป Next Best Action
4) Task board พร้อม owner/due date
5) Weekly executive brief</t>
        </is>
      </c>
      <c r="F7" s="15" t="inlineStr">
        <is>
          <t>ข้อมูล Agent, Referral, รายได้, กิจกรรม, บันทึกการติดต่อ (ข้อมูลจำลองใน MVP)</t>
        </is>
      </c>
      <c r="G7" s="15" t="inlineStr">
        <is>
          <t>รายชื่อ Agent เร่งด่วน, งานติดตาม, สรุปรายสัปดาห์, Campaign brief</t>
        </is>
      </c>
      <c r="H7" s="15" t="inlineStr">
        <is>
          <t>Web app + file ingestion + analytics + rules + AI summarizer + export</t>
        </is>
      </c>
      <c r="I7" s="15" t="inlineStr">
        <is>
          <t>CRM/CDP, Google Workspace, Email/LINE OA ผ่าน API ที่อนุมัติ</t>
        </is>
      </c>
      <c r="J7" s="15" t="inlineStr">
        <is>
          <t>คำนวณ KPI จากชุดทดสอบถูกต้อง; ผู้ใช้แก้ไขคำแนะนำได้; มี audit trail ก่อน export</t>
        </is>
      </c>
      <c r="K7" s="15" t="inlineStr">
        <is>
          <t>ข้อมูลธุรกิจ/คู่ค้า; หลีกเลี่ยงข้อมูลผู้ป่วยใน MVP</t>
        </is>
      </c>
      <c r="L7" s="15" t="inlineStr">
        <is>
          <t>สร้างเว็บแอป responsive ภาษาไทยชื่อ ‘CX Strategy &amp; Agent Relationship Command Center’ สำหรับ Customer Experience Manager ที่ รพ.เวชธานี โดยใช้ข้อมูลสังเคราะห์เท่านั้นใน prototype. เป้าหมาย: ข้อมูล Agent, Referral, กิจกรรม และงานติดตามกระจายหลายไฟล์ ทำให้จัดลำดับโอกาสและมอบหมายงานช้า ฟีเจอร์ MVP: 1) นำเข้า CSV รายชื่อ Agent/Referral 2) Dashboard Pipeline และ Agent Health 3) AI สรุป Next Best Action 4) Task board พร้อม owner/due date 5) Weekly executive brief. Input: ข้อมูล Agent, Referral, รายได้, กิจกรรม, บันทึกการติดต่อ (ข้อมูลจำลองใน MVP). Output: รายชื่อ Agent เร่งด่วน, งานติดตาม, สรุปรายสัปดาห์, Campaign brief.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คำนวณ KPI จากชุดทดสอบถูกต้อง; ผู้ใช้แก้ไขคำแนะนำได้; มี audit trail ก่อน export.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8" ht="190" customHeight="1">
      <c r="B8" s="15" t="inlineStr">
        <is>
          <t>สินีนันทน์ เทียนถาวร</t>
        </is>
      </c>
      <c r="C8" s="15" t="inlineStr">
        <is>
          <t>Complaint-to-Recovery &amp; Retention Studio</t>
        </is>
      </c>
      <c r="D8" s="15" t="inlineStr">
        <is>
          <t>Customer Experience Management Trainee
ข้อร้องเรียนมาจากหลายช่องทาง ต้องอ่าน/จัดหมวด/ส่งต่อ และติดตามการแก้ไขด้วยมือ</t>
        </is>
      </c>
      <c r="E8" s="15" t="inlineStr">
        <is>
          <t>1) รับเรื่องจากฟอร์มหรือ CSV
2) จัดหมวด/ความเร่งด่วน/ความรู้สึก
3) SLA queue และผู้รับผิดชอบ
4) ร่างคำตอบหลายภาษา
5) Root-cause dashboard และ recovery follow-up</t>
        </is>
      </c>
      <c r="F8" s="15" t="inlineStr">
        <is>
          <t>ข้อความร้องเรียน ช่องทาง วันที่ หน่วยงาน สถานะ (ทำข้อมูลจำลอง/ปกปิดตัวตน)</t>
        </is>
      </c>
      <c r="G8" s="15" t="inlineStr">
        <is>
          <t>Case card, ร่างคำตอบ, SLA alert, Pareto สาเหตุ, รายชื่อเคสติดตาม</t>
        </is>
      </c>
      <c r="H8" s="15" t="inlineStr">
        <is>
          <t>Web form + classifier + workflow + dashboard + response generator</t>
        </is>
      </c>
      <c r="I8" s="15" t="inlineStr">
        <is>
          <t>CRM, Contact Center, LINE OA, Email, ticketing</t>
        </is>
      </c>
      <c r="J8" s="15" t="inlineStr">
        <is>
          <t>หมวดและ SLA แก้ไขได้; ห้ามส่งข้อความอัตโนมัติ; เก็บผู้อนุมัติและเวอร์ชันคำตอบ</t>
        </is>
      </c>
      <c r="K8" s="15" t="inlineStr">
        <is>
          <t>ข้อความลูกค้าอาจมี PII/PHI; MVP ใช้ข้อมูลสังเคราะห์</t>
        </is>
      </c>
      <c r="L8" s="15" t="inlineStr">
        <is>
          <t>สร้างเว็บแอป responsive ภาษาไทยชื่อ ‘Complaint-to-Recovery &amp; Retention Studio’ สำหรับ Customer Experience Management Trainee ที่ รพ.เวชธานี โดยใช้ข้อมูลสังเคราะห์เท่านั้นใน prototype. เป้าหมาย: ข้อร้องเรียนมาจากหลายช่องทาง ต้องอ่าน/จัดหมวด/ส่งต่อ และติดตามการแก้ไขด้วยมือ ฟีเจอร์ MVP: 1) รับเรื่องจากฟอร์มหรือ CSV 2) จัดหมวด/ความเร่งด่วน/ความรู้สึก 3) SLA queue และผู้รับผิดชอบ 4) ร่างคำตอบหลายภาษา 5) Root-cause dashboard และ recovery follow-up. Input: ข้อความร้องเรียน ช่องทาง วันที่ หน่วยงาน สถานะ (ทำข้อมูลจำลอง/ปกปิดตัวตน). Output: Case card, ร่างคำตอบ, SLA alert, Pareto สาเหตุ, รายชื่อเคสติดตาม.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หมวดและ SLA แก้ไขได้; ห้ามส่งข้อความอัตโนมัติ; เก็บผู้อนุมัติและเวอร์ชันคำตอบ.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9" ht="190" customHeight="1">
      <c r="B9" s="15" t="inlineStr">
        <is>
          <t>ณิชาทร ลีนะบรรจง</t>
        </is>
      </c>
      <c r="C9" s="15" t="inlineStr">
        <is>
          <t>Agent &amp; Patient Growth Cockpit</t>
        </is>
      </c>
      <c r="D9" s="15" t="inlineStr">
        <is>
          <t>Customer &amp; Agent Insights Officer
ข้อมูล Referral, Revenue, Retention, Journey และ Campaign อยู่คนละแหล่ง ทำให้หา Insight และเสนอ Action ช้า</t>
        </is>
      </c>
      <c r="E9" s="15" t="inlineStr">
        <is>
          <t>1) Data upload และ quality check
2) Agent/segment scorecard
3) Funnel + cohort retention
4) Journey leakage finder
5) AI executive narrative และ recommended experiment</t>
        </is>
      </c>
      <c r="F9" s="15" t="inlineStr">
        <is>
          <t>Referral, revenue, visit, campaign, Agent, touchpoint (de-identified)</t>
        </is>
      </c>
      <c r="G9" s="15" t="inlineStr">
        <is>
          <t>Dashboard, segment opportunities, experiment backlog, executive summary</t>
        </is>
      </c>
      <c r="H9" s="15" t="inlineStr">
        <is>
          <t>Analytics web app + reusable data schema + charts + AI narrative + tests</t>
        </is>
      </c>
      <c r="I9" s="15" t="inlineStr">
        <is>
          <t>CDP/CRM, BI warehouse, VHealth, LINE OA, marketing automation</t>
        </is>
      </c>
      <c r="J9" s="15" t="inlineStr">
        <is>
          <t>ตัวเลข trace กลับแถวต้นทางได้; แยกข้อเท็จจริง/ข้อเสนอแนะ; export executive brief ได้</t>
        </is>
      </c>
      <c r="K9" s="15" t="inlineStr">
        <is>
          <t>ข้อมูลผู้ป่วยแบบลดการระบุตัวตน; ต้องกำหนดสิทธิ์ตามบทบาท</t>
        </is>
      </c>
      <c r="L9" s="15" t="inlineStr">
        <is>
          <t>สร้างเว็บแอป responsive ภาษาไทยชื่อ ‘Agent &amp; Patient Growth Cockpit’ สำหรับ Customer &amp; Agent Insights Officer ที่ รพ.เวชธานี โดยใช้ข้อมูลสังเคราะห์เท่านั้นใน prototype. เป้าหมาย: ข้อมูล Referral, Revenue, Retention, Journey และ Campaign อยู่คนละแหล่ง ทำให้หา Insight และเสนอ Action ช้า ฟีเจอร์ MVP: 1) Data upload และ quality check 2) Agent/segment scorecard 3) Funnel + cohort retention 4) Journey leakage finder 5) AI executive narrative และ recommended experiment. Input: Referral, revenue, visit, campaign, Agent, touchpoint (de-identified). Output: Dashboard, segment opportunities, experiment backlog, executive summary.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ตัวเลข trace กลับแถวต้นทางได้; แยกข้อเท็จจริง/ข้อเสนอแนะ; export executive brief ได้.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0" ht="190" customHeight="1">
      <c r="B10" s="15" t="inlineStr">
        <is>
          <t>จนิษฐ์ฌาภา มากอยู่</t>
        </is>
      </c>
      <c r="C10" s="15" t="inlineStr">
        <is>
          <t>Insurance Eligibility &amp; Document Readiness Checker</t>
        </is>
      </c>
      <c r="D10" s="15" t="inlineStr">
        <is>
          <t>Insurance Case Coordinator
การตรวจสิทธิ์และเอกสารประกันหลายเคสมีรายการเอกสาร/เงื่อนไขต่างกัน เสี่ยงตกหล่นและตอบกลับช้า</t>
        </is>
      </c>
      <c r="E10" s="15" t="inlineStr">
        <is>
          <t>1) Case intake
2) Checklist ตาม payer/ประเภทบริการ
3) OCR field extraction จากเอกสารจำลอง
4) Missing-item alert
5) ร่าง follow-up และ status board</t>
        </is>
      </c>
      <c r="F10" s="15" t="inlineStr">
        <is>
          <t>รายละเอียดเคส เอกสารสิทธิ์ แบบฟอร์ม payer (ข้อมูลจำลองใน MVP)</t>
        </is>
      </c>
      <c r="G10" s="15" t="inlineStr">
        <is>
          <t>ความพร้อมเอกสาร สถานะ สิ่งที่ขาด ร่างข้อความ และ audit log</t>
        </is>
      </c>
      <c r="H10" s="15" t="inlineStr">
        <is>
          <t>Secure case web app + document parser + rule engine + human approval</t>
        </is>
      </c>
      <c r="I10" s="15" t="inlineStr">
        <is>
          <t>Payer portal, HIS, document management, email</t>
        </is>
      </c>
      <c r="J10" s="15" t="inlineStr">
        <is>
          <t>ไม่ตัดสินสิทธิ์แทน payer; แสดง source page; ทุกผลต้องให้ coordinator ยืนยัน</t>
        </is>
      </c>
      <c r="K10" s="15" t="inlineStr">
        <is>
          <t>PHI/ข้อมูลการเงิน; MVP ใช้เอกสารปลอมและไม่เชื่อมระบบจริง</t>
        </is>
      </c>
      <c r="L10" s="15" t="inlineStr">
        <is>
          <t>สร้างเว็บแอป responsive ภาษาไทยชื่อ ‘Insurance Eligibility &amp; Document Readiness Checker’ สำหรับ Insurance Case Coordinator ที่ รพ.เวชธานี โดยใช้ข้อมูลสังเคราะห์เท่านั้นใน prototype. เป้าหมาย: การตรวจสิทธิ์และเอกสารประกันหลายเคสมีรายการเอกสาร/เงื่อนไขต่างกัน เสี่ยงตกหล่นและตอบกลับช้า ฟีเจอร์ MVP: 1) Case intake 2) Checklist ตาม payer/ประเภทบริการ 3) OCR field extraction จากเอกสารจำลอง 4) Missing-item alert 5) ร่าง follow-up และ status board. Input: รายละเอียดเคส เอกสารสิทธิ์ แบบฟอร์ม payer (ข้อมูลจำลองใน MVP). Output: ความพร้อมเอกสาร สถานะ สิ่งที่ขาด ร่างข้อความ และ audit log.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ไม่ตัดสินสิทธิ์แทน payer; แสดง source page; ทุกผลต้องให้ coordinator ยืนยัน.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1" ht="190" customHeight="1">
      <c r="B11" s="15" t="inlineStr">
        <is>
          <t>วัลยา แย้มโกสุมภ์</t>
        </is>
      </c>
      <c r="C11" s="15" t="inlineStr">
        <is>
          <t>Hospital Support Operations Control Tower</t>
        </is>
      </c>
      <c r="D11" s="15" t="inlineStr">
        <is>
          <t>Ancillary Support Services Manager
ต้องกำกับ 8 หน่วยงาน แต่ KPI, เวร, Incident และ SLA แยกกัน ทำให้เห็นคอขวดช้า</t>
        </is>
      </c>
      <c r="E11" s="15" t="inlineStr">
        <is>
          <t>1) Daily operations board
2) KPI/SLA dashboard 8 หน่วยงาน
3) Incident queue
4) Demand-vs-staff view
5) AI daily brief และ action tracker</t>
        </is>
      </c>
      <c r="F11" s="15" t="inlineStr">
        <is>
          <t>KPI, volume งาน, เวร, incident, SLA ของแต่ละหน่วยงาน</t>
        </is>
      </c>
      <c r="G11" s="15" t="inlineStr">
        <is>
          <t>สถานะไฟเขียว/เหลือง/แดง, คอขวด, งานเร่งด่วน, manager brief</t>
        </is>
      </c>
      <c r="H11" s="15" t="inlineStr">
        <is>
          <t>Multi-unit dashboard + forms + rules + summary agent</t>
        </is>
      </c>
      <c r="I11" s="15" t="inlineStr">
        <is>
          <t>Google Forms/Sheets, HR roster, call center, transport, housekeeping systems</t>
        </is>
      </c>
      <c r="J11" s="15" t="inlineStr">
        <is>
          <t>เกณฑ์สถานะปรับได้; drill-down ถึงข้อมูลต้นทาง; ไม่มีการจัดเวรอัตโนมัติโดยไร้อนุมัติ</t>
        </is>
      </c>
      <c r="K11" s="15" t="inlineStr">
        <is>
          <t>ข้อมูลปฏิบัติการ/พนักงาน; จำกัดข้อมูลส่วนบุคคล</t>
        </is>
      </c>
      <c r="L11" s="15" t="inlineStr">
        <is>
          <t>สร้างเว็บแอป responsive ภาษาไทยชื่อ ‘Hospital Support Operations Control Tower’ สำหรับ Ancillary Support Services Manager ที่ รพ.เวชธานี โดยใช้ข้อมูลสังเคราะห์เท่านั้นใน prototype. เป้าหมาย: ต้องกำกับ 8 หน่วยงาน แต่ KPI, เวร, Incident และ SLA แยกกัน ทำให้เห็นคอขวดช้า ฟีเจอร์ MVP: 1) Daily operations board 2) KPI/SLA dashboard 8 หน่วยงาน 3) Incident queue 4) Demand-vs-staff view 5) AI daily brief และ action tracker. Input: KPI, volume งาน, เวร, incident, SLA ของแต่ละหน่วยงาน. Output: สถานะไฟเขียว/เหลือง/แดง, คอขวด, งานเร่งด่วน, manager brief.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เกณฑ์สถานะปรับได้; drill-down ถึงข้อมูลต้นทาง; ไม่มีการจัดเวรอัตโนมัติโดยไร้อนุมัติ.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2" ht="190" customHeight="1">
      <c r="B12" s="15" t="inlineStr">
        <is>
          <t>พรพิรุณ วงษ์วรางกูร</t>
        </is>
      </c>
      <c r="C12" s="15" t="inlineStr">
        <is>
          <t>Facilities, Linen &amp; Compliance Operations Hub</t>
        </is>
      </c>
      <c r="D12" s="15" t="inlineStr">
        <is>
          <t>Facilities &amp; Support Services Manager
งานผ้า PR น้ำยา ห้องพร้อม แจ้งซ่อม Vendor และขยะติดเชื้อทำด้วยมือและต้องประสานหลายฝ่าย</t>
        </is>
      </c>
      <c r="E12" s="15" t="inlineStr">
        <is>
          <t>MVP โฟกัส 1) Mobile inspection ห้อง/พื้นที่
2) Linen loss/damage log
3) Work-order board
4) Usage + reorder suggestion
5) Auto monthly report; Phase 2 เพิ่ม contract/waste</t>
        </is>
      </c>
      <c r="F12" s="15" t="inlineStr">
        <is>
          <t>ผลตรวจห้อง สต๊อก/ใช้ผ้า งานซ่อม หน่วยงาน วันที่ รูปประกอบที่ไม่ติดบุคคล</t>
        </is>
      </c>
      <c r="G12" s="15" t="inlineStr">
        <is>
          <t>Room-ready status, work order, PR suggestion, loss trend, monthly report</t>
        </is>
      </c>
      <c r="H12" s="15" t="inlineStr">
        <is>
          <t>Mobile-first PWA + QR/location + forms + inventory rules + dashboard</t>
        </is>
      </c>
      <c r="I12" s="15" t="inlineStr">
        <is>
          <t>Google Forms/Sheets, PR/ERP, maintenance, vendor/contract repository</t>
        </is>
      </c>
      <c r="J12" s="15" t="inlineStr">
        <is>
          <t>ทำงานบนมือถือ; บังคับ field สำคัญ; เก็บเวลา/ผู้แก้ไข; รูปต้องไม่มีผู้ป่วยหรือเอกสารเวชระเบียน</t>
        </is>
      </c>
      <c r="K12" s="15" t="inlineStr">
        <is>
          <t>ข้อมูลปฏิบัติการ; ห้ามถ่ายติดผู้ป่วย/เวชระเบียน</t>
        </is>
      </c>
      <c r="L12" s="15" t="inlineStr">
        <is>
          <t>สร้างเว็บแอป responsive ภาษาไทยชื่อ ‘Facilities, Linen &amp; Compliance Operations Hub’ สำหรับ Facilities &amp; Support Services Manager ที่ รพ.เวชธานี โดยใช้ข้อมูลสังเคราะห์เท่านั้นใน prototype. เป้าหมาย: งานผ้า PR น้ำยา ห้องพร้อม แจ้งซ่อม Vendor และขยะติดเชื้อทำด้วยมือและต้องประสานหลายฝ่าย ฟีเจอร์ MVP: MVP โฟกัส 1) Mobile inspection ห้อง/พื้นที่ 2) Linen loss/damage log 3) Work-order board 4) Usage + reorder suggestion 5) Auto monthly report; Phase 2 เพิ่ม contract/waste. Input: ผลตรวจห้อง สต๊อก/ใช้ผ้า งานซ่อม หน่วยงาน วันที่ รูปประกอบที่ไม่ติดบุคคล. Output: Room-ready status, work order, PR suggestion, loss trend, monthly report.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ทำงานบนมือถือ; บังคับ field สำคัญ; เก็บเวลา/ผู้แก้ไข; รูปต้องไม่มีผู้ป่วยหรือเอกสารเวชระเบียน.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3" ht="190" customHeight="1">
      <c r="B13" s="15" t="inlineStr">
        <is>
          <t>วรจันทร์ สุตันตานนท์</t>
        </is>
      </c>
      <c r="C13" s="15" t="inlineStr">
        <is>
          <t>Residence Booking, Service &amp; Smart Upsell Desk</t>
        </is>
      </c>
      <c r="D13" s="15" t="inlineStr">
        <is>
          <t>Patient &amp; Relative Service Apartment Manager
การจอง เช็คอิน/เอาท์ ห้องพร้อม การชำระเงิน ข้อร้องเรียนและแจ้งซ่อมอยู่หลายขั้นตอน</t>
        </is>
      </c>
      <c r="E13" s="15" t="inlineStr">
        <is>
          <t>1) Availability calendar
2) Booking/check-in/out
3) Payment-status log (ไม่รับบัตรใน MVP)
4) Room-ready/maintenance
5) Multilingual message drafts + daily report</t>
        </is>
      </c>
      <c r="F13" s="15" t="inlineStr">
        <is>
          <t>ประเภทห้อง วันพัก สถานะห้อง ค่าบริการ ช่องทางติดต่อ (ข้อมูลจำลอง)</t>
        </is>
      </c>
      <c r="G13" s="15" t="inlineStr">
        <is>
          <t>Booking confirmation draft, occupancy dashboard, task list, daily close report</t>
        </is>
      </c>
      <c r="H13" s="15" t="inlineStr">
        <is>
          <t>Booking web app + calendar + message generator + operations dashboard</t>
        </is>
      </c>
      <c r="I13" s="15" t="inlineStr">
        <is>
          <t>Payment gateway, HIS/CRM, email/LINE/WhatsApp ผ่านระบบที่อนุมัติ</t>
        </is>
      </c>
      <c r="J13" s="15" t="inlineStr">
        <is>
          <t>กัน double booking; ราคาแก้ได้เฉพาะสิทธิ์ manager; ข้อความทุกฉบับต้อง preview ก่อนส่ง</t>
        </is>
      </c>
      <c r="K13" s="15" t="inlineStr">
        <is>
          <t>PII/ข้อมูลการพัก; MVP ใช้แขกจำลองและไม่รับชำระเงินจริง</t>
        </is>
      </c>
      <c r="L13" s="15" t="inlineStr">
        <is>
          <t>สร้างเว็บแอป responsive ภาษาไทยชื่อ ‘Residence Booking, Service &amp; Smart Upsell Desk’ สำหรับ Patient &amp; Relative Service Apartment Manager ที่ รพ.เวชธานี โดยใช้ข้อมูลสังเคราะห์เท่านั้นใน prototype. เป้าหมาย: การจอง เช็คอิน/เอาท์ ห้องพร้อม การชำระเงิน ข้อร้องเรียนและแจ้งซ่อมอยู่หลายขั้นตอน ฟีเจอร์ MVP: 1) Availability calendar 2) Booking/check-in/out 3) Payment-status log (ไม่รับบัตรใน MVP) 4) Room-ready/maintenance 5) Multilingual message drafts + daily report. Input: ประเภทห้อง วันพัก สถานะห้อง ค่าบริการ ช่องทางติดต่อ (ข้อมูลจำลอง). Output: Booking confirmation draft, occupancy dashboard, task list, daily close report.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กัน double booking; ราคาแก้ได้เฉพาะสิทธิ์ manager; ข้อความทุกฉบับต้อง preview ก่อนส่ง.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4" ht="190" customHeight="1">
      <c r="B14" s="15" t="inlineStr">
        <is>
          <t>หงษ์ฟ้า สายแวว</t>
        </is>
      </c>
      <c r="C14" s="15" t="inlineStr">
        <is>
          <t>ASD Admin Autopilot</t>
        </is>
      </c>
      <c r="D14" s="15" t="inlineStr">
        <is>
          <t>Assistant ASD Manager
เบิกจ่ายรถตู้ ตารางเวร KPI และ PR ต้องคีย์ซ้ำและรวมรายงานด้วยมือ</t>
        </is>
      </c>
      <c r="E14" s="15" t="inlineStr">
        <is>
          <t>1) แบบฟอร์มเที่ยวรถ/ค่าใช้จ่าย
2) ตารางเวร drag-and-drop
3) Validation ยอดและรายการซ้ำ
4) PR draft
5) KPI dashboard + monthly pack</t>
        </is>
      </c>
      <c r="F14" s="15" t="inlineStr">
        <is>
          <t>เที่ยวรถ ค่าใช้จ่าย เวร ปริมาณงาน KPI รายการ PR</t>
        </is>
      </c>
      <c r="G14" s="15" t="inlineStr">
        <is>
          <t>สรุปเบิกจ่าย ตารางเวร รายการผิดปกติ PR draft และสไลด์ KPI</t>
        </is>
      </c>
      <c r="H14" s="15" t="inlineStr">
        <is>
          <t>Forms + workflow + validation rules + dashboard + document export</t>
        </is>
      </c>
      <c r="I14" s="15" t="inlineStr">
        <is>
          <t>HR schedule, finance/ERP, Google Workspace</t>
        </is>
      </c>
      <c r="J14" s="15" t="inlineStr">
        <is>
          <t>ยอดรวมตรวจย้อนกลับได้; รายการผิดปกติไม่ถูกอนุมัติอัตโนมัติ; มี lock หลังปิดงวด</t>
        </is>
      </c>
      <c r="K14" s="15" t="inlineStr">
        <is>
          <t>ข้อมูลพนักงานและค่าใช้จ่ายระดับหน่วยงาน</t>
        </is>
      </c>
      <c r="L14" s="15" t="inlineStr">
        <is>
          <t>สร้างเว็บแอป responsive ภาษาไทยชื่อ ‘ASD Admin Autopilot’ สำหรับ Assistant ASD Manager ที่ รพ.เวชธานี โดยใช้ข้อมูลสังเคราะห์เท่านั้นใน prototype. เป้าหมาย: เบิกจ่ายรถตู้ ตารางเวร KPI และ PR ต้องคีย์ซ้ำและรวมรายงานด้วยมือ ฟีเจอร์ MVP: 1) แบบฟอร์มเที่ยวรถ/ค่าใช้จ่าย 2) ตารางเวร drag-and-drop 3) Validation ยอดและรายการซ้ำ 4) PR draft 5) KPI dashboard + monthly pack. Input: เที่ยวรถ ค่าใช้จ่าย เวร ปริมาณงาน KPI รายการ PR. Output: สรุปเบิกจ่าย ตารางเวร รายการผิดปกติ PR draft และสไลด์ KPI.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ยอดรวมตรวจย้อนกลับได้; รายการผิดปกติไม่ถูกอนุมัติอัตโนมัติ; มี lock หลังปิดงวด.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5" ht="190" customHeight="1">
      <c r="B15" s="15" t="inlineStr">
        <is>
          <t>ณิชา ขำสุนทร</t>
        </is>
      </c>
      <c r="C15" s="15" t="inlineStr">
        <is>
          <t>Front Desk Readiness Assistant</t>
        </is>
      </c>
      <c r="D15" s="15" t="inlineStr">
        <is>
          <t>Customer Service Supervisor
ลงทะเบียน เช็กสิทธิ์ เช็กนัด และแก้ข้อมูลต้องสลับหน้าจอและเกิดข้อมูลไม่ครบ/คิวรอ</t>
        </is>
      </c>
      <c r="E15" s="15" t="inlineStr">
        <is>
          <t>1) Guided pre-registration checklist
2) Appointment lookup จากข้อมูลจำลอง
3) Eligibility document checklist
4) Data-change request validation
5) Multilingual service scripts</t>
        </is>
      </c>
      <c r="F15" s="15" t="inlineStr">
        <is>
          <t>ข้อมูลผู้รับบริการจำลอง นัด หมวดสิทธิ์ และเอกสาร checklist</t>
        </is>
      </c>
      <c r="G15" s="15" t="inlineStr">
        <is>
          <t>Readiness status, missing items, queue note, response draft</t>
        </is>
      </c>
      <c r="H15" s="15" t="inlineStr">
        <is>
          <t>Guided workflow web app + rules + knowledge search + message drafting</t>
        </is>
      </c>
      <c r="I15" s="15" t="inlineStr">
        <is>
          <t>HIS/TC, payer eligibility, queue system, CRM</t>
        </is>
      </c>
      <c r="J15" s="15" t="inlineStr">
        <is>
          <t>MVP ไม่เขียนกลับ HIS; ไม่วินิจฉัย/ตัดสินสิทธิ์; ผู้ใช้ยืนยันทุกการแก้ข้อมูล</t>
        </is>
      </c>
      <c r="K15" s="15" t="inlineStr">
        <is>
          <t>PII/PHI และข้อมูลสิทธิ์; MVP ใช้ข้อมูลสังเคราะห์</t>
        </is>
      </c>
      <c r="L15" s="15" t="inlineStr">
        <is>
          <t>สร้างเว็บแอป responsive ภาษาไทยชื่อ ‘Front Desk Readiness Assistant’ สำหรับ Customer Service Supervisor ที่ รพ.เวชธานี โดยใช้ข้อมูลสังเคราะห์เท่านั้นใน prototype. เป้าหมาย: ลงทะเบียน เช็กสิทธิ์ เช็กนัด และแก้ข้อมูลต้องสลับหน้าจอและเกิดข้อมูลไม่ครบ/คิวรอ ฟีเจอร์ MVP: 1) Guided pre-registration checklist 2) Appointment lookup จากข้อมูลจำลอง 3) Eligibility document checklist 4) Data-change request validation 5) Multilingual service scripts. Input: ข้อมูลผู้รับบริการจำลอง นัด หมวดสิทธิ์ และเอกสาร checklist. Output: Readiness status, missing items, queue note, response draft.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MVP ไม่เขียนกลับ HIS; ไม่วินิจฉัย/ตัดสินสิทธิ์; ผู้ใช้ยืนยันทุกการแก้ข้อมูล.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6" ht="190" customHeight="1">
      <c r="B16" s="15" t="inlineStr">
        <is>
          <t>ธนพงศ์ อุ่นศิริ</t>
        </is>
      </c>
      <c r="C16" s="15" t="inlineStr">
        <is>
          <t>Kitchen Cost, Inventory &amp; Waste Planner</t>
        </is>
      </c>
      <c r="D16" s="15" t="inlineStr">
        <is>
          <t>Deputy Chef
ตารางงาน สูตรอาหาร เบิกจ่ายวัตถุดิบ ต้นทุนและสั่งซื้อยังซ้ำซ้อน/เขียนมือ</t>
        </is>
      </c>
      <c r="E16" s="15" t="inlineStr">
        <is>
          <t>1) Recipe BOM/portion costing
2) Stock in-out
3) Daily census/demand input
4) Reorder suggestion + expiry alert
5) Labor roster และ waste dashboard</t>
        </is>
      </c>
      <c r="F16" s="15" t="inlineStr">
        <is>
          <t>สูตร หน่วย/ราคา สต๊อก lot/expiry จำนวนมื้อ แผนเวร ของเสีย</t>
        </is>
      </c>
      <c r="G16" s="15" t="inlineStr">
        <is>
          <t>ต้นทุนต่อ portion, shopping list, alert, ตารางงาน, waste report</t>
        </is>
      </c>
      <c r="H16" s="15" t="inlineStr">
        <is>
          <t>Inventory web app + calculation engine + mobile forms + dashboard</t>
        </is>
      </c>
      <c r="I16" s="15" t="inlineStr">
        <is>
          <t>Purchasing/ERP, patient meal orders, HR roster</t>
        </is>
      </c>
      <c r="J16" s="15" t="inlineStr">
        <is>
          <t>หน่วยวัดแปลงถูกต้อง; ไม่ให้ stock ติดลบ; มี lot/expiry; ต้นทุน trace ถึงวัตถุดิบ</t>
        </is>
      </c>
      <c r="K16" s="15" t="inlineStr">
        <is>
          <t>ข้อมูลต้นทุน/สูตร; ระวัง allergen และข้อกำหนดอาหารผู้ป่วย</t>
        </is>
      </c>
      <c r="L16" s="15" t="inlineStr">
        <is>
          <t>สร้างเว็บแอป responsive ภาษาไทยชื่อ ‘Kitchen Cost, Inventory &amp; Waste Planner’ สำหรับ Deputy Chef ที่ รพ.เวชธานี โดยใช้ข้อมูลสังเคราะห์เท่านั้นใน prototype. เป้าหมาย: ตารางงาน สูตรอาหาร เบิกจ่ายวัตถุดิบ ต้นทุนและสั่งซื้อยังซ้ำซ้อน/เขียนมือ ฟีเจอร์ MVP: 1) Recipe BOM/portion costing 2) Stock in-out 3) Daily census/demand input 4) Reorder suggestion + expiry alert 5) Labor roster และ waste dashboard. Input: สูตร หน่วย/ราคา สต๊อก lot/expiry จำนวนมื้อ แผนเวร ของเสีย. Output: ต้นทุนต่อ portion, shopping list, alert, ตารางงาน, waste report.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หน่วยวัดแปลงถูกต้อง; ไม่ให้ stock ติดลบ; มี lot/expiry; ต้นทุน trace ถึงวัตถุดิบ.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7" ht="190" customHeight="1">
      <c r="B17" s="15" t="inlineStr">
        <is>
          <t>จันทนา ธรรมาธร</t>
        </is>
      </c>
      <c r="C17" s="15" t="inlineStr">
        <is>
          <t>Patient Access &amp; Payer Flow Executive Cockpit</t>
        </is>
      </c>
      <c r="D17" s="15" t="inlineStr">
        <is>
          <t>Assistant COO - Patient Access and Payer Coordination
ผู้บริหารต้องเห็นคิวงานตั้งแต่ access, insurance, guarantee, admission ถึง billing เพื่อหาคอขวดและ revenue leakage</t>
        </is>
      </c>
      <c r="E17" s="15" t="inlineStr">
        <is>
          <t>1) End-to-end funnel
2) Aging/backlog heatmap
3) SLA breach alerts
4) Revenue-at-risk queue
5) AI daily executive brief + escalation list</t>
        </is>
      </c>
      <c r="F17" s="15" t="inlineStr">
        <is>
          <t>สถานะเคส เวลา payer/guarantee นัด admission estimate และเหตุผลค้าง (de-identified)</t>
        </is>
      </c>
      <c r="G17" s="15" t="inlineStr">
        <is>
          <t>Executive dashboard, bottleneck, revenue-at-risk, owner/action list</t>
        </is>
      </c>
      <c r="H17" s="15" t="inlineStr">
        <is>
          <t>Cross-functional analytics app + workflow + role dashboards + audit</t>
        </is>
      </c>
      <c r="I17" s="15" t="inlineStr">
        <is>
          <t>HIS, CRM, payer, finance/AR, admission, international coordination</t>
        </is>
      </c>
      <c r="J17" s="15" t="inlineStr">
        <is>
          <t>นิยาม KPI มี data dictionary; drill-through ได้; ผู้บริหารอนุมัติเกณฑ์ revenue-at-risk</t>
        </is>
      </c>
      <c r="K17" s="15" t="inlineStr">
        <is>
          <t>PHI/การเงินหลายระบบ; เริ่มจาก aggregate/de-identified</t>
        </is>
      </c>
      <c r="L17" s="15" t="inlineStr">
        <is>
          <t>สร้างเว็บแอป responsive ภาษาไทยชื่อ ‘Patient Access &amp; Payer Flow Executive Cockpit’ สำหรับ Assistant COO - Patient Access and Payer Coordination ที่ รพ.เวชธานี โดยใช้ข้อมูลสังเคราะห์เท่านั้นใน prototype. เป้าหมาย: ผู้บริหารต้องเห็นคิวงานตั้งแต่ access, insurance, guarantee, admission ถึง billing เพื่อหาคอขวดและ revenue leakage ฟีเจอร์ MVP: 1) End-to-end funnel 2) Aging/backlog heatmap 3) SLA breach alerts 4) Revenue-at-risk queue 5) AI daily executive brief + escalation list. Input: สถานะเคส เวลา payer/guarantee นัด admission estimate และเหตุผลค้าง (de-identified). Output: Executive dashboard, bottleneck, revenue-at-risk, owner/action list.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นิยาม KPI มี data dictionary; drill-through ได้; ผู้บริหารอนุมัติเกณฑ์ revenue-at-risk.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8" ht="190" customHeight="1">
      <c r="B18" s="15" t="inlineStr">
        <is>
          <t>ธีรกานต์ บุญประเสริฐ</t>
        </is>
      </c>
      <c r="C18" s="15" t="inlineStr">
        <is>
          <t>International Guarantee &amp; Medical Inquiry Copilot</t>
        </is>
      </c>
      <c r="D18" s="15" t="inlineStr">
        <is>
          <t>Medical Coordination Department Manager
เอกสาร guarantee/inquiry/medical report เข้าจำนวนมาก ต้องดึงข้อมูล ตรวจความครบ และติดตามหลายฝ่าย</t>
        </is>
      </c>
      <c r="E18" s="15" t="inlineStr">
        <is>
          <t>1) Secure document inbox
2) OCR/extract key fields
3) Guarantee checklist + expiry/pop-up
4) Inquiry/treatment-plan request workflow
5) Draft medical document from approved template</t>
        </is>
      </c>
      <c r="F18" s="15" t="inlineStr">
        <is>
          <t>เอกสารจำลองจาก payer/สถานทูต, template, case timeline</t>
        </is>
      </c>
      <c r="G18" s="15" t="inlineStr">
        <is>
          <t>Case summary, missing fields, deadline alert, draft reply/report, audit log</t>
        </is>
      </c>
      <c r="H18" s="15" t="inlineStr">
        <is>
          <t>Document intelligence + rules + queue + template generation + human approval</t>
        </is>
      </c>
      <c r="I18" s="15" t="inlineStr">
        <is>
          <t>DMS, email, HIS, AR, payer/embassy portals</t>
        </is>
      </c>
      <c r="J18" s="15" t="inlineStr">
        <is>
          <t>อ้างอิงหน้าเอกสารทุก field; ห้ามส่ง/ลงนามอัตโนมัติ; medical content ต้องผ่านผู้มีอำนาจ</t>
        </is>
      </c>
      <c r="K18" s="15" t="inlineStr">
        <is>
          <t>PHI/ข้อมูลการเงิน/เอกสารต่างประเทศ; ต้องเข้ารหัสและจำกัดสิทธิ์</t>
        </is>
      </c>
      <c r="L18" s="15" t="inlineStr">
        <is>
          <t>สร้างเว็บแอป responsive ภาษาไทยชื่อ ‘International Guarantee &amp; Medical Inquiry Copilot’ สำหรับ Medical Coordination Department Manager ที่ รพ.เวชธานี โดยใช้ข้อมูลสังเคราะห์เท่านั้นใน prototype. เป้าหมาย: เอกสาร guarantee/inquiry/medical report เข้าจำนวนมาก ต้องดึงข้อมูล ตรวจความครบ และติดตามหลายฝ่าย ฟีเจอร์ MVP: 1) Secure document inbox 2) OCR/extract key fields 3) Guarantee checklist + expiry/pop-up 4) Inquiry/treatment-plan request workflow 5) Draft medical document from approved template. Input: เอกสารจำลองจาก payer/สถานทูต, template, case timeline. Output: Case summary, missing fields, deadline alert, draft reply/report, audit log.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อ้างอิงหน้าเอกสารทุก field; ห้ามส่ง/ลงนามอัตโนมัติ; medical content ต้องผ่านผู้มีอำนาจ.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19" ht="190" customHeight="1">
      <c r="B19" s="15" t="inlineStr">
        <is>
          <t>ภคอร เทียบรัตน์</t>
        </is>
      </c>
      <c r="C19" s="15" t="inlineStr">
        <is>
          <t>Referral &amp; Aviation Case Pack Generator</t>
        </is>
      </c>
      <c r="D19" s="15" t="inlineStr">
        <is>
          <t>Referral &amp; Aviation Manager
ต้องอ่านหลายไฟล์ ตรวจเวชระเบียน/เอกสาร TARMAC ประเมินราคา ทำคำร้อง และสรุป presentation ซ้ำ</t>
        </is>
      </c>
      <c r="E19" s="15" t="inlineStr">
        <is>
          <t>1) Multi-file upload
2) Document checklist + extraction
3) Discrepancy/blank-field checker
4) Request-form generator
5) Price breakdown + daily/weekly presentation pack</t>
        </is>
      </c>
      <c r="F19" s="15" t="inlineStr">
        <is>
          <t>เอกสารเคสจำลอง, checklist, rate card ตัวอย่าง, template คำร้อง/สไลด์</t>
        </is>
      </c>
      <c r="G19" s="15" t="inlineStr">
        <is>
          <t>Case pack, issue list, draft request, estimate breakdown, presentation</t>
        </is>
      </c>
      <c r="H19" s="15" t="inlineStr">
        <is>
          <t>File pipeline + extraction agent + validation + document/slides generator</t>
        </is>
      </c>
      <c r="I19" s="15" t="inlineStr">
        <is>
          <t>DMS, HIS, pricing, airline/TARMAC workflow, email</t>
        </is>
      </c>
      <c r="J19" s="15" t="inlineStr">
        <is>
          <t>เลข/ชื่อ/วันที่ cross-check ได้; แสดง confidence/source; ผู้จัดการอนุมัติก่อนส่งทุกครั้ง</t>
        </is>
      </c>
      <c r="K19" s="15" t="inlineStr">
        <is>
          <t>PHI/การบิน/ราคา; MVP ใช้เอกสารและ rate card จำลอง</t>
        </is>
      </c>
      <c r="L19" s="15" t="inlineStr">
        <is>
          <t>สร้างเว็บแอป responsive ภาษาไทยชื่อ ‘Referral &amp; Aviation Case Pack Generator’ สำหรับ Referral &amp; Aviation Manager ที่ รพ.เวชธานี โดยใช้ข้อมูลสังเคราะห์เท่านั้นใน prototype. เป้าหมาย: ต้องอ่านหลายไฟล์ ตรวจเวชระเบียน/เอกสาร TARMAC ประเมินราคา ทำคำร้อง และสรุป presentation ซ้ำ ฟีเจอร์ MVP: 1) Multi-file upload 2) Document checklist + extraction 3) Discrepancy/blank-field checker 4) Request-form generator 5) Price breakdown + daily/weekly presentation pack. Input: เอกสารเคสจำลอง, checklist, rate card ตัวอย่าง, template คำร้อง/สไลด์. Output: Case pack, issue list, draft request, estimate breakdown, presentation.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เลข/ชื่อ/วันที่ cross-check ได้; แสดง confidence/source; ผู้จัดการอนุมัติก่อนส่งทุกครั้ง.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20" ht="190" customHeight="1">
      <c r="B20" s="15" t="inlineStr">
        <is>
          <t>ภัทราวุธ อริยพฤกษ์ (บอส)</t>
        </is>
      </c>
      <c r="C20" s="15" t="inlineStr">
        <is>
          <t>Safe Document Intelligence Workbench</t>
        </is>
      </c>
      <c r="D20" s="15" t="inlineStr">
        <is>
          <t>Data Scientist
แต่ละ Use Case สร้าง pipeline อ่าน PDF/ตัดคำต้องห้าม/สรุปรายงานใหม่ ทำให้พัฒนาและตรวจคุณภาพซ้ำ</t>
        </is>
      </c>
      <c r="E20" s="15" t="inlineStr">
        <is>
          <t>1) Upload/parse PDF
2) Schema builder
3) Banned-term/redaction rules
4) Prompt/model test set
5) Side-by-side review + audit/export API</t>
        </is>
      </c>
      <c r="F20" s="15" t="inlineStr">
        <is>
          <t>เอกสารสังเคราะห์, schema, rule set, gold-standard examples</t>
        </is>
      </c>
      <c r="G20" s="15" t="inlineStr">
        <is>
          <t>Structured JSON, redacted summary, quality score, test report, API contract</t>
        </is>
      </c>
      <c r="H20" s="15" t="inlineStr">
        <is>
          <t>Modular pipeline + evaluation harness + review UI + API + logs</t>
        </is>
      </c>
      <c r="I20" s="15" t="inlineStr">
        <is>
          <t>Approved LLM APIs, DMS, CI/CD, internal apps</t>
        </is>
      </c>
      <c r="J20" s="15" t="inlineStr">
        <is>
          <t>มี regression tests; prompt/version log; fail closed เมื่อ confidence ต่ำ; ไม่มีข้อมูลจริงใน workshop</t>
        </is>
      </c>
      <c r="K20" s="15" t="inlineStr">
        <is>
          <t>แพลตฟอร์มเอกสาร; ใช้ synthetic test corpus ก่อน</t>
        </is>
      </c>
      <c r="L20" s="15" t="inlineStr">
        <is>
          <t>สร้างเว็บแอป responsive ภาษาไทยชื่อ ‘Safe Document Intelligence Workbench’ สำหรับ Data Scientist ที่ รพ.เวชธานี โดยใช้ข้อมูลสังเคราะห์เท่านั้นใน prototype. เป้าหมาย: แต่ละ Use Case สร้าง pipeline อ่าน PDF/ตัดคำต้องห้าม/สรุปรายงานใหม่ ทำให้พัฒนาและตรวจคุณภาพซ้ำ ฟีเจอร์ MVP: 1) Upload/parse PDF 2) Schema builder 3) Banned-term/redaction rules 4) Prompt/model test set 5) Side-by-side review + audit/export API. Input: เอกสารสังเคราะห์, schema, rule set, gold-standard examples. Output: Structured JSON, redacted summary, quality score, test report, API contract.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มี regression tests; prompt/version log; fail closed เมื่อ confidence ต่ำ; ไม่มีข้อมูลจริงใน workshop.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21" ht="190" customHeight="1">
      <c r="B21" s="15" t="inlineStr">
        <is>
          <t>ศลิษา โพธิ์สิทธิ์ (อุ่น)</t>
        </is>
      </c>
      <c r="C21" s="15" t="inlineStr">
        <is>
          <t>Agentic Analytics Factory</t>
        </is>
      </c>
      <c r="D21" s="15" t="inlineStr">
        <is>
          <t>Data Scientist
คำขอวิเคราะห์/ML/web app ต้องผ่านหลายขั้นตอนตั้งแต่ requirement, data QA, code, test, dashboard และเอกสาร</t>
        </is>
      </c>
      <c r="E21" s="15" t="inlineStr">
        <is>
          <t>1) Intake brief
2) Planner agent
3) Data-quality agent
4) Analyst/coder agent
5) Reviewer/test agent + artifact registry</t>
        </is>
      </c>
      <c r="F21" s="15" t="inlineStr">
        <is>
          <t>โจทย์ธุรกิจ ชุดข้อมูลสังเคราะห์ acceptance criteria และ policy</t>
        </is>
      </c>
      <c r="G21" s="15" t="inlineStr">
        <is>
          <t>Implementation plan, data report, code/app, test evidence, model card</t>
        </is>
      </c>
      <c r="H21" s="15" t="inlineStr">
        <is>
          <t>Antigravity project + custom Skills + subagents + hooks + artifact review</t>
        </is>
      </c>
      <c r="I21" s="15" t="inlineStr">
        <is>
          <t>Git, CI/CD, data warehouse, model registry, ticketing</t>
        </is>
      </c>
      <c r="J21" s="15" t="inlineStr">
        <is>
          <t>ทุก agent มีขอบเขต/เครื่องมือชัด; human gate ก่อน deploy; reproducible run และ versioned artifacts</t>
        </is>
      </c>
      <c r="K21" s="15" t="inlineStr">
        <is>
          <t>ใช้ dataset สังเคราะห์/ไม่ระบุตัวตน; ควบคุม tool permission</t>
        </is>
      </c>
      <c r="L21" s="15" t="inlineStr">
        <is>
          <t>สร้างเว็บแอป responsive ภาษาไทยชื่อ ‘Agentic Analytics Factory’ สำหรับ Data Scientist ที่ รพ.เวชธานี โดยใช้ข้อมูลสังเคราะห์เท่านั้นใน prototype. เป้าหมาย: คำขอวิเคราะห์/ML/web app ต้องผ่านหลายขั้นตอนตั้งแต่ requirement, data QA, code, test, dashboard และเอกสาร ฟีเจอร์ MVP: 1) Intake brief 2) Planner agent 3) Data-quality agent 4) Analyst/coder agent 5) Reviewer/test agent + artifact registry. Input: โจทย์ธุรกิจ ชุดข้อมูลสังเคราะห์ acceptance criteria และ policy. Output: Implementation plan, data report, code/app, test evidence, model card.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ทุก agent มีขอบเขต/เครื่องมือชัด; human gate ก่อน deploy; reproducible run และ versioned artifacts.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22" ht="190" customHeight="1">
      <c r="B22" s="15" t="inlineStr">
        <is>
          <t>นายจิรภัทร รุ่งเนย (แอม)</t>
        </is>
      </c>
      <c r="C22" s="15" t="inlineStr">
        <is>
          <t>Clinical Pharmacy Evidence &amp; Counseling Assistant</t>
        </is>
      </c>
      <c r="D22" s="15" t="inlineStr">
        <is>
          <t>Pharmacist 1
ต้องค้น guideline/drug information ทบทวนประเด็นยา และจัดทำคำแนะนำผู้ป่วยภายใต้เวลาจำกัด</t>
        </is>
      </c>
      <c r="E22" s="15" t="inlineStr">
        <is>
          <t>1) ค้นเฉพาะ approved sources
2) Case question builder จากข้อมูลไม่ระบุตัวตน
3) Evidence table พร้อม citation/date
4) Monitoring/checklist draft
5) Counseling draft ภาษาเข้าใจง่าย</t>
        </is>
      </c>
      <c r="F22" s="15" t="inlineStr">
        <is>
          <t>โจทย์เคส de-identified, guideline/drug monograph ที่อนุมัติ, template</t>
        </is>
      </c>
      <c r="G22" s="15" t="inlineStr">
        <is>
          <t>Evidence summary, คำถามที่ต้องตรวจเพิ่ม, checklist และ counseling draft</t>
        </is>
      </c>
      <c r="H22" s="15" t="inlineStr">
        <is>
          <t>Closed knowledge base + retrieval + citation checker + pharmacist approval</t>
        </is>
      </c>
      <c r="I22" s="15" t="inlineStr">
        <is>
          <t>Approved drug database, guideline repository; HIS เฉพาะหลัง validation/governance</t>
        </is>
      </c>
      <c r="J22" s="15" t="inlineStr">
        <is>
          <t>ห้ามคำนวณ/แนะนำขนาดยาอัตโนมัติสำหรับใช้จริง; แจ้ง uncertainty; เภสัชกรรับผิดชอบผลสุดท้าย</t>
        </is>
      </c>
      <c r="K22" s="15" t="inlineStr">
        <is>
          <t>ข้อมูลสุขภาพอ่อนไหว/การตัดสินใจคลินิก; ต้อง validation และ human oversight สูงสุด</t>
        </is>
      </c>
      <c r="L22" s="15" t="inlineStr">
        <is>
          <t>สร้างเว็บแอป responsive ภาษาไทยชื่อ ‘Clinical Pharmacy Evidence &amp; Counseling Assistant’ สำหรับ Pharmacist 1 ที่ รพ.เวชธานี โดยใช้ข้อมูลสังเคราะห์เท่านั้นใน prototype. เป้าหมาย: ต้องค้น guideline/drug information ทบทวนประเด็นยา และจัดทำคำแนะนำผู้ป่วยภายใต้เวลาจำกัด ฟีเจอร์ MVP: 1) ค้นเฉพาะ approved sources 2) Case question builder จากข้อมูลไม่ระบุตัวตน 3) Evidence table พร้อม citation/date 4) Monitoring/checklist draft 5) Counseling draft ภาษาเข้าใจง่าย. Input: โจทย์เคส de-identified, guideline/drug monograph ที่อนุมัติ, template. Output: Evidence summary, คำถามที่ต้องตรวจเพิ่ม, checklist และ counseling draft.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ห้ามคำนวณ/แนะนำขนาดยาอัตโนมัติสำหรับใช้จริง; แจ้ง uncertainty; เภสัชกรรับผิดชอบผลสุดท้าย.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  <row r="23" ht="190" customHeight="1">
      <c r="B23" s="15" t="inlineStr">
        <is>
          <t>แก้วใจ มโนวิไลกุล (เม่ย)</t>
        </is>
      </c>
      <c r="C23" s="15" t="inlineStr">
        <is>
          <t>Hospital Data Access &amp; KPI Orchestrator</t>
        </is>
      </c>
      <c r="D23" s="15" t="inlineStr">
        <is>
          <t>Data Governance &amp; Business Insights Section Manager
คำขอข้อมูลและนิยาม KPI ต้องประสาน owner/approval/คุณภาพ/lineage หลายขั้น ทำให้ BI และ AI project ช้า</t>
        </is>
      </c>
      <c r="E23" s="15" t="inlineStr">
        <is>
          <t>1) Data request intake
2) KPI/data catalog
3) Owner/approval routing
4) Data-quality checklist
5) Lineage/usage log + orchestration status</t>
        </is>
      </c>
      <c r="F23" s="15" t="inlineStr">
        <is>
          <t>Metadata, KPI definition, data owner, classification, request purpose, SLA</t>
        </is>
      </c>
      <c r="G23" s="15" t="inlineStr">
        <is>
          <t>Approved dataset request, data contract, quality report, lineage และ audit</t>
        </is>
      </c>
      <c r="H23" s="15" t="inlineStr">
        <is>
          <t>Governance portal + workflow orchestrator + policy skill + metadata store</t>
        </is>
      </c>
      <c r="I23" s="15" t="inlineStr">
        <is>
          <t>Data catalog/warehouse, IAM, ticketing, BI, model registry</t>
        </is>
      </c>
      <c r="J23" s="15" t="inlineStr">
        <is>
          <t>least privilege; owner approval; immutable audit; agent ไม่ข้าม policy; retention/deletion rule ชัด</t>
        </is>
      </c>
      <c r="K23" s="15" t="inlineStr">
        <is>
          <t>Metadata และสิทธิ์ข้อมูลทั้งองค์กร; เริ่มจาก catalog จำลอง</t>
        </is>
      </c>
      <c r="L23" s="15" t="inlineStr">
        <is>
          <t>สร้างเว็บแอป responsive ภาษาไทยชื่อ ‘Hospital Data Access &amp; KPI Orchestrator’ สำหรับ Data Governance &amp; Business Insights Section Manager ที่ รพ.เวชธานี โดยใช้ข้อมูลสังเคราะห์เท่านั้นใน prototype. เป้าหมาย: คำขอข้อมูลและนิยาม KPI ต้องประสาน owner/approval/คุณภาพ/lineage หลายขั้น ทำให้ BI และ AI project ช้า ฟีเจอร์ MVP: 1) Data request intake 2) KPI/data catalog 3) Owner/approval routing 4) Data-quality checklist 5) Lineage/usage log + orchestration status. Input: Metadata, KPI definition, data owner, classification, request purpose, SLA. Output: Approved dataset request, data contract, quality report, lineage และ audit. เริ่มด้วย Implementation Plan, user flow, data schema และ threat/risk checklist ก่อนเขียนโค้ด. สร้าง role-based access, validation, audit log, export CSV/PDF, sample data และ automated tests. Acceptance criteria: least privilege; owner approval; immutable audit; agent ไม่ข้าม policy; retention/deletion rule ชัด. ห้ามเชื่อมข้อมูลจริงหรือส่งข้อความ/อนุมัติ/ตัดสินใจอัตโนมัติ. สร้าง README วิธีรันและ browser test evidence ก่อนสรุปงาน.</t>
        </is>
      </c>
    </row>
  </sheetData>
  <mergeCells count="3">
    <mergeCell ref="B2:L2"/>
    <mergeCell ref="B5:L5"/>
    <mergeCell ref="B3:L3"/>
  </mergeCells>
  <pageMargins left="0.25" right="0.25" top="0.5" bottom="0.5" header="0.5" footer="0.5"/>
  <pageSetup fitToHeight="0" fitToWidth="1"/>
  <headerFooter>
    <oddHeader/>
    <oddFooter>&amp;C&amp;8 &amp;K7F7F7FVejthani × Google Antigravity | Generated 20 Sep 2026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R31"/>
  <sheetViews>
    <sheetView showGridLines="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4" customWidth="1" min="3" max="3"/>
    <col width="22" customWidth="1" min="4" max="4"/>
    <col width="18" customWidth="1" min="5" max="5"/>
    <col width="20" customWidth="1" min="6" max="6"/>
    <col width="17" customWidth="1" min="7" max="7"/>
    <col width="18" customWidth="1" min="8" max="8"/>
    <col width="20" customWidth="1" min="9" max="9"/>
    <col width="23" customWidth="1" min="10" max="10"/>
    <col width="20" customWidth="1" min="11" max="11"/>
    <col width="22" customWidth="1" min="12" max="12"/>
    <col width="18" customWidth="1" min="13" max="13"/>
    <col width="20" customWidth="1" min="14" max="14"/>
    <col width="20" customWidth="1" min="15" max="15"/>
    <col width="18" customWidth="1" min="16" max="16"/>
    <col width="14" customWidth="1" min="17" max="17"/>
    <col width="17" customWidth="1" min="18" max="18"/>
  </cols>
  <sheetData>
    <row r="2" ht="34" customHeight="1">
      <c r="B2" s="1" t="inlineStr">
        <is>
          <t>ROI &amp; Business Case Calculator</t>
        </is>
      </c>
    </row>
    <row r="3" ht="28" customHeight="1">
      <c r="B3" s="2" t="inlineStr">
        <is>
          <t>กรอกเฉพาะช่องสีเหลือง/ตัวอักษรสีน้ำเงินด้วยข้อมูลจริงที่ผ่านอนุมัติ สูตรจะคำนวณผลประโยชน์ปีแรก ROI และ Payback</t>
        </is>
      </c>
    </row>
    <row r="5" ht="23" customHeight="1">
      <c r="B5" s="3" t="inlineStr">
        <is>
          <t>Editable assumptions and calculated benefits</t>
        </is>
      </c>
    </row>
    <row r="6">
      <c r="B6" s="21" t="inlineStr">
        <is>
          <t>โครงการ</t>
        </is>
      </c>
      <c r="C6" s="21" t="inlineStr">
        <is>
          <t>เจ้าของ</t>
        </is>
      </c>
      <c r="D6" s="21" t="inlineStr">
        <is>
          <t>Lever</t>
        </is>
      </c>
      <c r="E6" s="21" t="inlineStr">
        <is>
          <t>ปริมาณเคส/ธุรกรรมต่อปี</t>
        </is>
      </c>
      <c r="F6" s="21" t="inlineStr">
        <is>
          <t>มูลค่าเฉลี่ยต่อเคส (บาท)</t>
        </is>
      </c>
      <c r="G6" s="21" t="inlineStr">
        <is>
          <t>คาดการณ์เพิ่มรายได้ (%)</t>
        </is>
      </c>
      <c r="H6" s="21" t="inlineStr">
        <is>
          <t>ชั่วโมงประหยัด/เดือน</t>
        </is>
      </c>
      <c r="I6" s="21" t="inlineStr">
        <is>
          <t>ต้นทุนแรงงาน/ชั่วโมง (บาท)</t>
        </is>
      </c>
      <c r="J6" s="21" t="inlineStr">
        <is>
          <t>ประหยัด waste/denial ต่อปี (บาท)</t>
        </is>
      </c>
      <c r="K6" s="21" t="inlineStr">
        <is>
          <t>ค่าพัฒนาเริ่มต้น (บาท)</t>
        </is>
      </c>
      <c r="L6" s="21" t="inlineStr">
        <is>
          <t>ค่าใช้จ่ายระบบ/ปี (บาท)</t>
        </is>
      </c>
      <c r="M6" s="21" t="inlineStr">
        <is>
          <t>รายได้เพิ่ม/ปี</t>
        </is>
      </c>
      <c r="N6" s="21" t="inlineStr">
        <is>
          <t>ประหยัดแรงงาน/ปี</t>
        </is>
      </c>
      <c r="O6" s="21" t="inlineStr">
        <is>
          <t>ผลประโยชน์รวม/ปี</t>
        </is>
      </c>
      <c r="P6" s="21" t="inlineStr">
        <is>
          <t>ผลสุทธิปีแรก</t>
        </is>
      </c>
      <c r="Q6" s="21" t="inlineStr">
        <is>
          <t>ROI ปีแรก</t>
        </is>
      </c>
      <c r="R6" s="21" t="inlineStr">
        <is>
          <t>Payback (เดือน)</t>
        </is>
      </c>
    </row>
    <row r="7" ht="46" customHeight="1">
      <c r="B7" s="15" t="inlineStr">
        <is>
          <t>CX Strategy &amp; Agent Relationship Command Center</t>
        </is>
      </c>
      <c r="C7" s="15" t="inlineStr">
        <is>
          <t>มธุรี จงโยธา</t>
        </is>
      </c>
      <c r="D7" s="15" t="inlineStr">
        <is>
          <t>รายได้ + ขยายโอกาส</t>
        </is>
      </c>
      <c r="E7" s="22" t="inlineStr"/>
      <c r="F7" s="22" t="inlineStr"/>
      <c r="G7" s="23" t="inlineStr"/>
      <c r="H7" s="19" t="inlineStr"/>
      <c r="I7" s="22" t="inlineStr"/>
      <c r="J7" s="22" t="inlineStr"/>
      <c r="K7" s="22" t="inlineStr"/>
      <c r="L7" s="22" t="inlineStr"/>
      <c r="M7" s="24">
        <f>IFERROR(E7*F7*G7,0)</f>
        <v/>
      </c>
      <c r="N7" s="24">
        <f>IFERROR(H7*12*I7,0)</f>
        <v/>
      </c>
      <c r="O7" s="24">
        <f>SUM(M7:N7)+IFERROR(J7,0)</f>
        <v/>
      </c>
      <c r="P7" s="24">
        <f>O7-IFERROR(K7,0)-IFERROR(L7,0)</f>
        <v/>
      </c>
      <c r="Q7" s="25">
        <f>IFERROR(P7/(K7+L7),"")</f>
        <v/>
      </c>
      <c r="R7" s="26">
        <f>IFERROR(K7/(O7/12),"")</f>
        <v/>
      </c>
    </row>
    <row r="8" ht="46" customHeight="1">
      <c r="B8" s="15" t="inlineStr">
        <is>
          <t>Complaint-to-Recovery &amp; Retention Studio</t>
        </is>
      </c>
      <c r="C8" s="15" t="inlineStr">
        <is>
          <t>สินีนันทน์ เทียนถาวร</t>
        </is>
      </c>
      <c r="D8" s="15" t="inlineStr">
        <is>
          <t>รายได้ + ลดรายจ่าย</t>
        </is>
      </c>
      <c r="E8" s="22" t="inlineStr"/>
      <c r="F8" s="22" t="inlineStr"/>
      <c r="G8" s="23" t="inlineStr"/>
      <c r="H8" s="19" t="inlineStr"/>
      <c r="I8" s="22" t="inlineStr"/>
      <c r="J8" s="22" t="inlineStr"/>
      <c r="K8" s="22" t="inlineStr"/>
      <c r="L8" s="22" t="inlineStr"/>
      <c r="M8" s="24">
        <f>IFERROR(E8*F8*G8,0)</f>
        <v/>
      </c>
      <c r="N8" s="24">
        <f>IFERROR(H8*12*I8,0)</f>
        <v/>
      </c>
      <c r="O8" s="24">
        <f>SUM(M8:N8)+IFERROR(J8,0)</f>
        <v/>
      </c>
      <c r="P8" s="24">
        <f>O8-IFERROR(K8,0)-IFERROR(L8,0)</f>
        <v/>
      </c>
      <c r="Q8" s="25">
        <f>IFERROR(P8/(K8+L8),"")</f>
        <v/>
      </c>
      <c r="R8" s="26">
        <f>IFERROR(K8/(O8/12),"")</f>
        <v/>
      </c>
    </row>
    <row r="9" ht="46" customHeight="1">
      <c r="B9" s="15" t="inlineStr">
        <is>
          <t>Agent &amp; Patient Growth Cockpit</t>
        </is>
      </c>
      <c r="C9" s="15" t="inlineStr">
        <is>
          <t>ณิชาทร ลีนะบรรจง</t>
        </is>
      </c>
      <c r="D9" s="15" t="inlineStr">
        <is>
          <t>รายได้ + ขยายโอกาส</t>
        </is>
      </c>
      <c r="E9" s="22" t="inlineStr"/>
      <c r="F9" s="22" t="inlineStr"/>
      <c r="G9" s="23" t="inlineStr"/>
      <c r="H9" s="19" t="inlineStr"/>
      <c r="I9" s="22" t="inlineStr"/>
      <c r="J9" s="22" t="inlineStr"/>
      <c r="K9" s="22" t="inlineStr"/>
      <c r="L9" s="22" t="inlineStr"/>
      <c r="M9" s="24">
        <f>IFERROR(E9*F9*G9,0)</f>
        <v/>
      </c>
      <c r="N9" s="24">
        <f>IFERROR(H9*12*I9,0)</f>
        <v/>
      </c>
      <c r="O9" s="24">
        <f>SUM(M9:N9)+IFERROR(J9,0)</f>
        <v/>
      </c>
      <c r="P9" s="24">
        <f>O9-IFERROR(K9,0)-IFERROR(L9,0)</f>
        <v/>
      </c>
      <c r="Q9" s="25">
        <f>IFERROR(P9/(K9+L9),"")</f>
        <v/>
      </c>
      <c r="R9" s="26">
        <f>IFERROR(K9/(O9/12),"")</f>
        <v/>
      </c>
    </row>
    <row r="10" ht="46" customHeight="1">
      <c r="B10" s="15" t="inlineStr">
        <is>
          <t>Insurance Eligibility &amp; Document Readiness Checker</t>
        </is>
      </c>
      <c r="C10" s="15" t="inlineStr">
        <is>
          <t>จนิษฐ์ฌาภา มากอยู่</t>
        </is>
      </c>
      <c r="D10" s="15" t="inlineStr">
        <is>
          <t>รายได้ + ลดรายจ่าย</t>
        </is>
      </c>
      <c r="E10" s="22" t="inlineStr"/>
      <c r="F10" s="22" t="inlineStr"/>
      <c r="G10" s="23" t="inlineStr"/>
      <c r="H10" s="19" t="inlineStr"/>
      <c r="I10" s="22" t="inlineStr"/>
      <c r="J10" s="22" t="inlineStr"/>
      <c r="K10" s="22" t="inlineStr"/>
      <c r="L10" s="22" t="inlineStr"/>
      <c r="M10" s="24">
        <f>IFERROR(E10*F10*G10,0)</f>
        <v/>
      </c>
      <c r="N10" s="24">
        <f>IFERROR(H10*12*I10,0)</f>
        <v/>
      </c>
      <c r="O10" s="24">
        <f>SUM(M10:N10)+IFERROR(J10,0)</f>
        <v/>
      </c>
      <c r="P10" s="24">
        <f>O10-IFERROR(K10,0)-IFERROR(L10,0)</f>
        <v/>
      </c>
      <c r="Q10" s="25">
        <f>IFERROR(P10/(K10+L10),"")</f>
        <v/>
      </c>
      <c r="R10" s="26">
        <f>IFERROR(K10/(O10/12),"")</f>
        <v/>
      </c>
    </row>
    <row r="11" ht="46" customHeight="1">
      <c r="B11" s="15" t="inlineStr">
        <is>
          <t>Hospital Support Operations Control Tower</t>
        </is>
      </c>
      <c r="C11" s="15" t="inlineStr">
        <is>
          <t>วัลยา แย้มโกสุมภ์</t>
        </is>
      </c>
      <c r="D11" s="15" t="inlineStr">
        <is>
          <t>ลดรายจ่าย + ขยายโอกาส</t>
        </is>
      </c>
      <c r="E11" s="22" t="inlineStr"/>
      <c r="F11" s="22" t="inlineStr"/>
      <c r="G11" s="23" t="inlineStr"/>
      <c r="H11" s="19" t="inlineStr"/>
      <c r="I11" s="22" t="inlineStr"/>
      <c r="J11" s="22" t="inlineStr"/>
      <c r="K11" s="22" t="inlineStr"/>
      <c r="L11" s="22" t="inlineStr"/>
      <c r="M11" s="24">
        <f>IFERROR(E11*F11*G11,0)</f>
        <v/>
      </c>
      <c r="N11" s="24">
        <f>IFERROR(H11*12*I11,0)</f>
        <v/>
      </c>
      <c r="O11" s="24">
        <f>SUM(M11:N11)+IFERROR(J11,0)</f>
        <v/>
      </c>
      <c r="P11" s="24">
        <f>O11-IFERROR(K11,0)-IFERROR(L11,0)</f>
        <v/>
      </c>
      <c r="Q11" s="25">
        <f>IFERROR(P11/(K11+L11),"")</f>
        <v/>
      </c>
      <c r="R11" s="26">
        <f>IFERROR(K11/(O11/12),"")</f>
        <v/>
      </c>
    </row>
    <row r="12" ht="46" customHeight="1">
      <c r="B12" s="15" t="inlineStr">
        <is>
          <t>Facilities, Linen &amp; Compliance Operations Hub</t>
        </is>
      </c>
      <c r="C12" s="15" t="inlineStr">
        <is>
          <t>พรพิรุณ วงษ์วรางกูร</t>
        </is>
      </c>
      <c r="D12" s="15" t="inlineStr">
        <is>
          <t>ลดรายจ่าย</t>
        </is>
      </c>
      <c r="E12" s="22" t="inlineStr"/>
      <c r="F12" s="22" t="inlineStr"/>
      <c r="G12" s="23" t="inlineStr"/>
      <c r="H12" s="19" t="inlineStr"/>
      <c r="I12" s="22" t="inlineStr"/>
      <c r="J12" s="22" t="inlineStr"/>
      <c r="K12" s="22" t="inlineStr"/>
      <c r="L12" s="22" t="inlineStr"/>
      <c r="M12" s="24">
        <f>IFERROR(E12*F12*G12,0)</f>
        <v/>
      </c>
      <c r="N12" s="24">
        <f>IFERROR(H12*12*I12,0)</f>
        <v/>
      </c>
      <c r="O12" s="24">
        <f>SUM(M12:N12)+IFERROR(J12,0)</f>
        <v/>
      </c>
      <c r="P12" s="24">
        <f>O12-IFERROR(K12,0)-IFERROR(L12,0)</f>
        <v/>
      </c>
      <c r="Q12" s="25">
        <f>IFERROR(P12/(K12+L12),"")</f>
        <v/>
      </c>
      <c r="R12" s="26">
        <f>IFERROR(K12/(O12/12),"")</f>
        <v/>
      </c>
    </row>
    <row r="13" ht="46" customHeight="1">
      <c r="B13" s="15" t="inlineStr">
        <is>
          <t>Residence Booking, Service &amp; Smart Upsell Desk</t>
        </is>
      </c>
      <c r="C13" s="15" t="inlineStr">
        <is>
          <t>วรจันทร์ สุตันตานนท์</t>
        </is>
      </c>
      <c r="D13" s="15" t="inlineStr">
        <is>
          <t>รายได้ + ลดรายจ่าย</t>
        </is>
      </c>
      <c r="E13" s="22" t="inlineStr"/>
      <c r="F13" s="22" t="inlineStr"/>
      <c r="G13" s="23" t="inlineStr"/>
      <c r="H13" s="19" t="inlineStr"/>
      <c r="I13" s="22" t="inlineStr"/>
      <c r="J13" s="22" t="inlineStr"/>
      <c r="K13" s="22" t="inlineStr"/>
      <c r="L13" s="22" t="inlineStr"/>
      <c r="M13" s="24">
        <f>IFERROR(E13*F13*G13,0)</f>
        <v/>
      </c>
      <c r="N13" s="24">
        <f>IFERROR(H13*12*I13,0)</f>
        <v/>
      </c>
      <c r="O13" s="24">
        <f>SUM(M13:N13)+IFERROR(J13,0)</f>
        <v/>
      </c>
      <c r="P13" s="24">
        <f>O13-IFERROR(K13,0)-IFERROR(L13,0)</f>
        <v/>
      </c>
      <c r="Q13" s="25">
        <f>IFERROR(P13/(K13+L13),"")</f>
        <v/>
      </c>
      <c r="R13" s="26">
        <f>IFERROR(K13/(O13/12),"")</f>
        <v/>
      </c>
    </row>
    <row r="14" ht="46" customHeight="1">
      <c r="B14" s="15" t="inlineStr">
        <is>
          <t>ASD Admin Autopilot</t>
        </is>
      </c>
      <c r="C14" s="15" t="inlineStr">
        <is>
          <t>หงษ์ฟ้า สายแวว</t>
        </is>
      </c>
      <c r="D14" s="15" t="inlineStr">
        <is>
          <t>ลดรายจ่าย</t>
        </is>
      </c>
      <c r="E14" s="22" t="inlineStr"/>
      <c r="F14" s="22" t="inlineStr"/>
      <c r="G14" s="23" t="inlineStr"/>
      <c r="H14" s="19" t="inlineStr"/>
      <c r="I14" s="22" t="inlineStr"/>
      <c r="J14" s="22" t="inlineStr"/>
      <c r="K14" s="22" t="inlineStr"/>
      <c r="L14" s="22" t="inlineStr"/>
      <c r="M14" s="24">
        <f>IFERROR(E14*F14*G14,0)</f>
        <v/>
      </c>
      <c r="N14" s="24">
        <f>IFERROR(H14*12*I14,0)</f>
        <v/>
      </c>
      <c r="O14" s="24">
        <f>SUM(M14:N14)+IFERROR(J14,0)</f>
        <v/>
      </c>
      <c r="P14" s="24">
        <f>O14-IFERROR(K14,0)-IFERROR(L14,0)</f>
        <v/>
      </c>
      <c r="Q14" s="25">
        <f>IFERROR(P14/(K14+L14),"")</f>
        <v/>
      </c>
      <c r="R14" s="26">
        <f>IFERROR(K14/(O14/12),"")</f>
        <v/>
      </c>
    </row>
    <row r="15" ht="46" customHeight="1">
      <c r="B15" s="15" t="inlineStr">
        <is>
          <t>Front Desk Readiness Assistant</t>
        </is>
      </c>
      <c r="C15" s="15" t="inlineStr">
        <is>
          <t>ณิชา ขำสุนทร</t>
        </is>
      </c>
      <c r="D15" s="15" t="inlineStr">
        <is>
          <t>รายได้ + ลดรายจ่าย</t>
        </is>
      </c>
      <c r="E15" s="22" t="inlineStr"/>
      <c r="F15" s="22" t="inlineStr"/>
      <c r="G15" s="23" t="inlineStr"/>
      <c r="H15" s="19" t="inlineStr"/>
      <c r="I15" s="22" t="inlineStr"/>
      <c r="J15" s="22" t="inlineStr"/>
      <c r="K15" s="22" t="inlineStr"/>
      <c r="L15" s="22" t="inlineStr"/>
      <c r="M15" s="24">
        <f>IFERROR(E15*F15*G15,0)</f>
        <v/>
      </c>
      <c r="N15" s="24">
        <f>IFERROR(H15*12*I15,0)</f>
        <v/>
      </c>
      <c r="O15" s="24">
        <f>SUM(M15:N15)+IFERROR(J15,0)</f>
        <v/>
      </c>
      <c r="P15" s="24">
        <f>O15-IFERROR(K15,0)-IFERROR(L15,0)</f>
        <v/>
      </c>
      <c r="Q15" s="25">
        <f>IFERROR(P15/(K15+L15),"")</f>
        <v/>
      </c>
      <c r="R15" s="26">
        <f>IFERROR(K15/(O15/12),"")</f>
        <v/>
      </c>
    </row>
    <row r="16" ht="46" customHeight="1">
      <c r="B16" s="15" t="inlineStr">
        <is>
          <t>Kitchen Cost, Inventory &amp; Waste Planner</t>
        </is>
      </c>
      <c r="C16" s="15" t="inlineStr">
        <is>
          <t>ธนพงศ์ อุ่นศิริ</t>
        </is>
      </c>
      <c r="D16" s="15" t="inlineStr">
        <is>
          <t>ลดรายจ่าย + ขยายโอกาส</t>
        </is>
      </c>
      <c r="E16" s="22" t="inlineStr"/>
      <c r="F16" s="22" t="inlineStr"/>
      <c r="G16" s="23" t="inlineStr"/>
      <c r="H16" s="19" t="inlineStr"/>
      <c r="I16" s="22" t="inlineStr"/>
      <c r="J16" s="22" t="inlineStr"/>
      <c r="K16" s="22" t="inlineStr"/>
      <c r="L16" s="22" t="inlineStr"/>
      <c r="M16" s="24">
        <f>IFERROR(E16*F16*G16,0)</f>
        <v/>
      </c>
      <c r="N16" s="24">
        <f>IFERROR(H16*12*I16,0)</f>
        <v/>
      </c>
      <c r="O16" s="24">
        <f>SUM(M16:N16)+IFERROR(J16,0)</f>
        <v/>
      </c>
      <c r="P16" s="24">
        <f>O16-IFERROR(K16,0)-IFERROR(L16,0)</f>
        <v/>
      </c>
      <c r="Q16" s="25">
        <f>IFERROR(P16/(K16+L16),"")</f>
        <v/>
      </c>
      <c r="R16" s="26">
        <f>IFERROR(K16/(O16/12),"")</f>
        <v/>
      </c>
    </row>
    <row r="17" ht="46" customHeight="1">
      <c r="B17" s="15" t="inlineStr">
        <is>
          <t>Patient Access &amp; Payer Flow Executive Cockpit</t>
        </is>
      </c>
      <c r="C17" s="15" t="inlineStr">
        <is>
          <t>จันทนา ธรรมาธร</t>
        </is>
      </c>
      <c r="D17" s="15" t="inlineStr">
        <is>
          <t>รายได้ + ลดรายจ่าย</t>
        </is>
      </c>
      <c r="E17" s="22" t="inlineStr"/>
      <c r="F17" s="22" t="inlineStr"/>
      <c r="G17" s="23" t="inlineStr"/>
      <c r="H17" s="19" t="inlineStr"/>
      <c r="I17" s="22" t="inlineStr"/>
      <c r="J17" s="22" t="inlineStr"/>
      <c r="K17" s="22" t="inlineStr"/>
      <c r="L17" s="22" t="inlineStr"/>
      <c r="M17" s="24">
        <f>IFERROR(E17*F17*G17,0)</f>
        <v/>
      </c>
      <c r="N17" s="24">
        <f>IFERROR(H17*12*I17,0)</f>
        <v/>
      </c>
      <c r="O17" s="24">
        <f>SUM(M17:N17)+IFERROR(J17,0)</f>
        <v/>
      </c>
      <c r="P17" s="24">
        <f>O17-IFERROR(K17,0)-IFERROR(L17,0)</f>
        <v/>
      </c>
      <c r="Q17" s="25">
        <f>IFERROR(P17/(K17+L17),"")</f>
        <v/>
      </c>
      <c r="R17" s="26">
        <f>IFERROR(K17/(O17/12),"")</f>
        <v/>
      </c>
    </row>
    <row r="18" ht="46" customHeight="1">
      <c r="B18" s="15" t="inlineStr">
        <is>
          <t>International Guarantee &amp; Medical Inquiry Copilot</t>
        </is>
      </c>
      <c r="C18" s="15" t="inlineStr">
        <is>
          <t>ธีรกานต์ บุญประเสริฐ</t>
        </is>
      </c>
      <c r="D18" s="15" t="inlineStr">
        <is>
          <t>รายได้ + ลดรายจ่าย</t>
        </is>
      </c>
      <c r="E18" s="22" t="inlineStr"/>
      <c r="F18" s="22" t="inlineStr"/>
      <c r="G18" s="23" t="inlineStr"/>
      <c r="H18" s="19" t="inlineStr"/>
      <c r="I18" s="22" t="inlineStr"/>
      <c r="J18" s="22" t="inlineStr"/>
      <c r="K18" s="22" t="inlineStr"/>
      <c r="L18" s="22" t="inlineStr"/>
      <c r="M18" s="24">
        <f>IFERROR(E18*F18*G18,0)</f>
        <v/>
      </c>
      <c r="N18" s="24">
        <f>IFERROR(H18*12*I18,0)</f>
        <v/>
      </c>
      <c r="O18" s="24">
        <f>SUM(M18:N18)+IFERROR(J18,0)</f>
        <v/>
      </c>
      <c r="P18" s="24">
        <f>O18-IFERROR(K18,0)-IFERROR(L18,0)</f>
        <v/>
      </c>
      <c r="Q18" s="25">
        <f>IFERROR(P18/(K18+L18),"")</f>
        <v/>
      </c>
      <c r="R18" s="26">
        <f>IFERROR(K18/(O18/12),"")</f>
        <v/>
      </c>
    </row>
    <row r="19" ht="46" customHeight="1">
      <c r="B19" s="15" t="inlineStr">
        <is>
          <t>Referral &amp; Aviation Case Pack Generator</t>
        </is>
      </c>
      <c r="C19" s="15" t="inlineStr">
        <is>
          <t>ภคอร เทียบรัตน์</t>
        </is>
      </c>
      <c r="D19" s="15" t="inlineStr">
        <is>
          <t>รายได้ + ลดรายจ่าย</t>
        </is>
      </c>
      <c r="E19" s="22" t="inlineStr"/>
      <c r="F19" s="22" t="inlineStr"/>
      <c r="G19" s="23" t="inlineStr"/>
      <c r="H19" s="19" t="inlineStr"/>
      <c r="I19" s="22" t="inlineStr"/>
      <c r="J19" s="22" t="inlineStr"/>
      <c r="K19" s="22" t="inlineStr"/>
      <c r="L19" s="22" t="inlineStr"/>
      <c r="M19" s="24">
        <f>IFERROR(E19*F19*G19,0)</f>
        <v/>
      </c>
      <c r="N19" s="24">
        <f>IFERROR(H19*12*I19,0)</f>
        <v/>
      </c>
      <c r="O19" s="24">
        <f>SUM(M19:N19)+IFERROR(J19,0)</f>
        <v/>
      </c>
      <c r="P19" s="24">
        <f>O19-IFERROR(K19,0)-IFERROR(L19,0)</f>
        <v/>
      </c>
      <c r="Q19" s="25">
        <f>IFERROR(P19/(K19+L19),"")</f>
        <v/>
      </c>
      <c r="R19" s="26">
        <f>IFERROR(K19/(O19/12),"")</f>
        <v/>
      </c>
    </row>
    <row r="20" ht="46" customHeight="1">
      <c r="B20" s="15" t="inlineStr">
        <is>
          <t>Safe Document Intelligence Workbench</t>
        </is>
      </c>
      <c r="C20" s="15" t="inlineStr">
        <is>
          <t>ภัทราวุธ อริยพฤกษ์ (บอส)</t>
        </is>
      </c>
      <c r="D20" s="15" t="inlineStr">
        <is>
          <t>ลดรายจ่าย + ขยายโอกาส</t>
        </is>
      </c>
      <c r="E20" s="22" t="inlineStr"/>
      <c r="F20" s="22" t="inlineStr"/>
      <c r="G20" s="23" t="inlineStr"/>
      <c r="H20" s="19" t="inlineStr"/>
      <c r="I20" s="22" t="inlineStr"/>
      <c r="J20" s="22" t="inlineStr"/>
      <c r="K20" s="22" t="inlineStr"/>
      <c r="L20" s="22" t="inlineStr"/>
      <c r="M20" s="24">
        <f>IFERROR(E20*F20*G20,0)</f>
        <v/>
      </c>
      <c r="N20" s="24">
        <f>IFERROR(H20*12*I20,0)</f>
        <v/>
      </c>
      <c r="O20" s="24">
        <f>SUM(M20:N20)+IFERROR(J20,0)</f>
        <v/>
      </c>
      <c r="P20" s="24">
        <f>O20-IFERROR(K20,0)-IFERROR(L20,0)</f>
        <v/>
      </c>
      <c r="Q20" s="25">
        <f>IFERROR(P20/(K20+L20),"")</f>
        <v/>
      </c>
      <c r="R20" s="26">
        <f>IFERROR(K20/(O20/12),"")</f>
        <v/>
      </c>
    </row>
    <row r="21" ht="46" customHeight="1">
      <c r="B21" s="15" t="inlineStr">
        <is>
          <t>Agentic Analytics Factory</t>
        </is>
      </c>
      <c r="C21" s="15" t="inlineStr">
        <is>
          <t>ศลิษา โพธิ์สิทธิ์ (อุ่น)</t>
        </is>
      </c>
      <c r="D21" s="15" t="inlineStr">
        <is>
          <t>ลดรายจ่าย + ขยายโอกาส</t>
        </is>
      </c>
      <c r="E21" s="22" t="inlineStr"/>
      <c r="F21" s="22" t="inlineStr"/>
      <c r="G21" s="23" t="inlineStr"/>
      <c r="H21" s="19" t="inlineStr"/>
      <c r="I21" s="22" t="inlineStr"/>
      <c r="J21" s="22" t="inlineStr"/>
      <c r="K21" s="22" t="inlineStr"/>
      <c r="L21" s="22" t="inlineStr"/>
      <c r="M21" s="24">
        <f>IFERROR(E21*F21*G21,0)</f>
        <v/>
      </c>
      <c r="N21" s="24">
        <f>IFERROR(H21*12*I21,0)</f>
        <v/>
      </c>
      <c r="O21" s="24">
        <f>SUM(M21:N21)+IFERROR(J21,0)</f>
        <v/>
      </c>
      <c r="P21" s="24">
        <f>O21-IFERROR(K21,0)-IFERROR(L21,0)</f>
        <v/>
      </c>
      <c r="Q21" s="25">
        <f>IFERROR(P21/(K21+L21),"")</f>
        <v/>
      </c>
      <c r="R21" s="26">
        <f>IFERROR(K21/(O21/12),"")</f>
        <v/>
      </c>
    </row>
    <row r="22" ht="46" customHeight="1">
      <c r="B22" s="15" t="inlineStr">
        <is>
          <t>Clinical Pharmacy Evidence &amp; Counseling Assistant</t>
        </is>
      </c>
      <c r="C22" s="15" t="inlineStr">
        <is>
          <t>นายจิรภัทร รุ่งเนย (แอม)</t>
        </is>
      </c>
      <c r="D22" s="15" t="inlineStr">
        <is>
          <t>ลดรายจ่าย + คุณภาพ/ความปลอดภัย</t>
        </is>
      </c>
      <c r="E22" s="22" t="inlineStr"/>
      <c r="F22" s="22" t="inlineStr"/>
      <c r="G22" s="23" t="inlineStr"/>
      <c r="H22" s="19" t="inlineStr"/>
      <c r="I22" s="22" t="inlineStr"/>
      <c r="J22" s="22" t="inlineStr"/>
      <c r="K22" s="22" t="inlineStr"/>
      <c r="L22" s="22" t="inlineStr"/>
      <c r="M22" s="24">
        <f>IFERROR(E22*F22*G22,0)</f>
        <v/>
      </c>
      <c r="N22" s="24">
        <f>IFERROR(H22*12*I22,0)</f>
        <v/>
      </c>
      <c r="O22" s="24">
        <f>SUM(M22:N22)+IFERROR(J22,0)</f>
        <v/>
      </c>
      <c r="P22" s="24">
        <f>O22-IFERROR(K22,0)-IFERROR(L22,0)</f>
        <v/>
      </c>
      <c r="Q22" s="25">
        <f>IFERROR(P22/(K22+L22),"")</f>
        <v/>
      </c>
      <c r="R22" s="26">
        <f>IFERROR(K22/(O22/12),"")</f>
        <v/>
      </c>
    </row>
    <row r="23" ht="46" customHeight="1">
      <c r="B23" s="15" t="inlineStr">
        <is>
          <t>Hospital Data Access &amp; KPI Orchestrator</t>
        </is>
      </c>
      <c r="C23" s="15" t="inlineStr">
        <is>
          <t>แก้วใจ มโนวิไลกุล (เม่ย)</t>
        </is>
      </c>
      <c r="D23" s="15" t="inlineStr">
        <is>
          <t>ลดรายจ่าย + ขยายโอกาส</t>
        </is>
      </c>
      <c r="E23" s="22" t="inlineStr"/>
      <c r="F23" s="22" t="inlineStr"/>
      <c r="G23" s="23" t="inlineStr"/>
      <c r="H23" s="19" t="inlineStr"/>
      <c r="I23" s="22" t="inlineStr"/>
      <c r="J23" s="22" t="inlineStr"/>
      <c r="K23" s="22" t="inlineStr"/>
      <c r="L23" s="22" t="inlineStr"/>
      <c r="M23" s="24">
        <f>IFERROR(E23*F23*G23,0)</f>
        <v/>
      </c>
      <c r="N23" s="24">
        <f>IFERROR(H23*12*I23,0)</f>
        <v/>
      </c>
      <c r="O23" s="24">
        <f>SUM(M23:N23)+IFERROR(J23,0)</f>
        <v/>
      </c>
      <c r="P23" s="24">
        <f>O23-IFERROR(K23,0)-IFERROR(L23,0)</f>
        <v/>
      </c>
      <c r="Q23" s="25">
        <f>IFERROR(P23/(K23+L23),"")</f>
        <v/>
      </c>
      <c r="R23" s="26">
        <f>IFERROR(K23/(O23/12),"")</f>
        <v/>
      </c>
    </row>
    <row r="26" ht="23" customHeight="1">
      <c r="B26" s="3" t="inlineStr">
        <is>
          <t>วิธีใช้</t>
        </is>
      </c>
    </row>
    <row r="28" ht="24" customHeight="1">
      <c r="B28" s="27" t="inlineStr">
        <is>
          <t>1) ใช้ baseline 12 เดือนล่าสุดหรือช่วงที่ Finance ยืนยัน</t>
        </is>
      </c>
    </row>
    <row r="29" ht="24" customHeight="1">
      <c r="B29" s="27" t="inlineStr">
        <is>
          <t>2) Revenue uplift ต้องคิดเฉพาะส่วนเพิ่มที่มีเหตุผลเชื่อมกับโครงการ หลีกเลี่ยงการนับซ้ำระหว่างโครงการ</t>
        </is>
      </c>
    </row>
    <row r="30" ht="24" customHeight="1">
      <c r="B30" s="27" t="inlineStr">
        <is>
          <t>3) ชั่วโมงประหยัดไม่เท่ากับเงินสดเสมอ ให้ระบุว่าจะลด OT, ลด vendor, เพิ่ม capacity หรือย้ายเวลาไปงานมูลค่าสูง</t>
        </is>
      </c>
    </row>
    <row r="31" ht="24" customHeight="1">
      <c r="B31" s="27" t="inlineStr">
        <is>
          <t>4) หลัง Pilot ให้แทนค่าคาดการณ์ด้วยผลจริง และแยก Benefit ที่ยืนยันโดย Finance</t>
        </is>
      </c>
    </row>
  </sheetData>
  <mergeCells count="8">
    <mergeCell ref="B28:Q28"/>
    <mergeCell ref="B31:Q31"/>
    <mergeCell ref="B26:Q26"/>
    <mergeCell ref="B30:Q30"/>
    <mergeCell ref="B2:Q2"/>
    <mergeCell ref="B29:Q29"/>
    <mergeCell ref="B3:Q3"/>
    <mergeCell ref="B5:Q5"/>
  </mergeCells>
  <conditionalFormatting sqref="Q7:Q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  <headerFooter>
    <oddHeader/>
    <oddFooter>&amp;C&amp;8 &amp;K7F7F7FVejthani × Google Antigravity | Generated 20 Sep 2026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K2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42" customWidth="1" min="3" max="3"/>
    <col width="43" customWidth="1" min="4" max="4"/>
    <col width="34" customWidth="1" min="5" max="5"/>
    <col width="37" customWidth="1" min="6" max="6"/>
  </cols>
  <sheetData>
    <row r="2" ht="34" customHeight="1">
      <c r="B2" s="1" t="inlineStr">
        <is>
          <t>Workshop Roadmap</t>
        </is>
      </c>
    </row>
    <row r="3" ht="28" customHeight="1">
      <c r="B3" s="2" t="inlineStr">
        <is>
          <t>โครงสร้างจาก Prototype → Measured Pilot → Production โดยจัดทีมข้ามสายงาน</t>
        </is>
      </c>
    </row>
    <row r="5" ht="23" customHeight="1">
      <c r="B5" s="3" t="inlineStr">
        <is>
          <t>Squads and mentoring</t>
        </is>
      </c>
    </row>
    <row r="6">
      <c r="B6" s="28" t="inlineStr">
        <is>
          <t>Squad</t>
        </is>
      </c>
      <c r="C6" s="28" t="inlineStr">
        <is>
          <t>สมาชิกหลัก</t>
        </is>
      </c>
      <c r="D6" s="28" t="inlineStr">
        <is>
          <t>เป้าหมาย</t>
        </is>
      </c>
      <c r="E6" s="28" t="inlineStr">
        <is>
          <t>Mentor/Reviewer</t>
        </is>
      </c>
      <c r="F6" s="28" t="inlineStr">
        <is>
          <t>Demo Day Metric</t>
        </is>
      </c>
    </row>
    <row r="7" ht="58" customHeight="1">
      <c r="B7" s="15" t="inlineStr">
        <is>
          <t>Growth &amp; CX</t>
        </is>
      </c>
      <c r="C7" s="15" t="inlineStr">
        <is>
          <t>มธุรี, สินีนันทน์, ณิชาทร, จนิษฐ์ฌาภา</t>
        </is>
      </c>
      <c r="D7" s="15" t="inlineStr">
        <is>
          <t>Agent growth, complaint recovery, insurance readiness</t>
        </is>
      </c>
      <c r="E7" s="15" t="inlineStr">
        <is>
          <t>ณิชาทร + Data Scientist</t>
        </is>
      </c>
      <c r="F7" s="15" t="inlineStr">
        <is>
          <t>Conversion, retention, response/processing time</t>
        </is>
      </c>
    </row>
    <row r="8" ht="58" customHeight="1">
      <c r="B8" s="15" t="inlineStr">
        <is>
          <t>Support Operations</t>
        </is>
      </c>
      <c r="C8" s="15" t="inlineStr">
        <is>
          <t>วัลยา, พรพิรุณ, วรจันทร์, หงษ์ฟ้า, ณิชา, ธนพงศ์</t>
        </is>
      </c>
      <c r="D8" s="15" t="inlineStr">
        <is>
          <t>ลด manual work, stock/waste, room/service readiness</t>
        </is>
      </c>
      <c r="E8" s="15" t="inlineStr">
        <is>
          <t>ศลิษา</t>
        </is>
      </c>
      <c r="F8" s="15" t="inlineStr">
        <is>
          <t>Hours saved, error/waste, SLA, occupancy</t>
        </is>
      </c>
    </row>
    <row r="9" ht="58" customHeight="1">
      <c r="B9" s="15" t="inlineStr">
        <is>
          <t>Payer &amp; International</t>
        </is>
      </c>
      <c r="C9" s="15" t="inlineStr">
        <is>
          <t>จันทนา, ธีรกานต์, ภคอร</t>
        </is>
      </c>
      <c r="D9" s="15" t="inlineStr">
        <is>
          <t>เร่ง guarantee, referral, inquiry และ case pack</t>
        </is>
      </c>
      <c r="E9" s="15" t="inlineStr">
        <is>
          <t>ภัทราวุธ + แก้วใจ</t>
        </is>
      </c>
      <c r="F9" s="15" t="inlineStr">
        <is>
          <t>TAT, completeness, pending value, conversion</t>
        </is>
      </c>
    </row>
    <row r="10" ht="58" customHeight="1">
      <c r="B10" s="15" t="inlineStr">
        <is>
          <t>Data Platform</t>
        </is>
      </c>
      <c r="C10" s="15" t="inlineStr">
        <is>
          <t>ภัทราวุธ, ศลิษา, แก้วใจ</t>
        </is>
      </c>
      <c r="D10" s="15" t="inlineStr">
        <is>
          <t>Reusable skills, orchestration, data governance</t>
        </is>
      </c>
      <c r="E10" s="15" t="inlineStr">
        <is>
          <t>IT/Security/Data Governance</t>
        </is>
      </c>
      <c r="F10" s="15" t="inlineStr">
        <is>
          <t>Reuse, test coverage, auditability, lead time</t>
        </is>
      </c>
    </row>
    <row r="11" ht="58" customHeight="1">
      <c r="B11" s="15" t="inlineStr">
        <is>
          <t>Clinical Pharmacy</t>
        </is>
      </c>
      <c r="C11" s="15" t="inlineStr">
        <is>
          <t>จิรภัทร</t>
        </is>
      </c>
      <c r="D11" s="15" t="inlineStr">
        <is>
          <t>Evidence retrieval และ counseling draft</t>
        </is>
      </c>
      <c r="E11" s="15" t="inlineStr">
        <is>
          <t>เภสัชกรอาวุโส + P&amp;T/Quality + Security</t>
        </is>
      </c>
      <c r="F11" s="15" t="inlineStr">
        <is>
          <t>Citation completeness, edit rate, safety gates</t>
        </is>
      </c>
    </row>
    <row r="14" ht="23" customHeight="1">
      <c r="B14" s="3" t="inlineStr">
        <is>
          <t>4-session build sequence</t>
        </is>
      </c>
    </row>
    <row r="15">
      <c r="B15" s="14" t="inlineStr">
        <is>
          <t>Session</t>
        </is>
      </c>
      <c r="C15" s="14" t="inlineStr">
        <is>
          <t>Focus</t>
        </is>
      </c>
      <c r="D15" s="14" t="inlineStr">
        <is>
          <t>Deliverable</t>
        </is>
      </c>
      <c r="E15" s="14" t="inlineStr">
        <is>
          <t>Antigravity วิธีใช้</t>
        </is>
      </c>
      <c r="F15" s="14" t="inlineStr">
        <is>
          <t>Exit criteria</t>
        </is>
      </c>
    </row>
    <row r="16" ht="68" customHeight="1">
      <c r="B16" s="15" t="inlineStr">
        <is>
          <t>0 — Guardrails &amp; Scope</t>
        </is>
      </c>
      <c r="C16" s="15" t="inlineStr">
        <is>
          <t>เลือก 1 workflow/คน, กำหนด user, value, risk และข้อมูลจำลอง</t>
        </is>
      </c>
      <c r="D16" s="15" t="inlineStr">
        <is>
          <t>One-page brief + baseline KPI</t>
        </is>
      </c>
      <c r="E16" s="15" t="inlineStr">
        <is>
          <t>ใช้ Planning Mode/Artifacts และ /grill-me เพื่อท้าทาย requirement</t>
        </is>
      </c>
      <c r="F16" s="15" t="inlineStr">
        <is>
          <t>มี owner, KPI, decision boundary, ห้ามใช้ข้อมูลจริง</t>
        </is>
      </c>
    </row>
    <row r="17" ht="68" customHeight="1">
      <c r="B17" s="15" t="inlineStr">
        <is>
          <t>1 — Design &amp; Scaffold</t>
        </is>
      </c>
      <c r="C17" s="15" t="inlineStr">
        <is>
          <t>User flow, schema, screen, role, sample data</t>
        </is>
      </c>
      <c r="D17" s="15" t="inlineStr">
        <is>
          <t>Clickable/local MVP skeleton</t>
        </is>
      </c>
      <c r="E17" s="15" t="inlineStr">
        <is>
          <t>ให้ agent สร้าง plan, architecture และ scaffold; review artifact ก่อน coding</t>
        </is>
      </c>
      <c r="F17" s="15" t="inlineStr">
        <is>
          <t>Happy path รันได้และ trace ข้อมูลได้</t>
        </is>
      </c>
    </row>
    <row r="18" ht="68" customHeight="1">
      <c r="B18" s="15" t="inlineStr">
        <is>
          <t>2 — Build &amp; Test</t>
        </is>
      </c>
      <c r="C18" s="15" t="inlineStr">
        <is>
          <t>Rules, AI step, dashboard, export, audit</t>
        </is>
      </c>
      <c r="D18" s="15" t="inlineStr">
        <is>
          <t>End-to-end demo + tests</t>
        </is>
      </c>
      <c r="E18" s="15" t="inlineStr">
        <is>
          <t>แยก subtask ให้ agents; ใช้ browser/Chrome test และเก็บ evidence</t>
        </is>
      </c>
      <c r="F18" s="15" t="inlineStr">
        <is>
          <t>ผ่าน acceptance tests และ failure cases</t>
        </is>
      </c>
    </row>
    <row r="19" ht="68" customHeight="1">
      <c r="B19" s="15" t="inlineStr">
        <is>
          <t>3 — Business Case &amp; Demo</t>
        </is>
      </c>
      <c r="C19" s="15" t="inlineStr">
        <is>
          <t>วัดเวลา/คุณภาพ/รายได้, ปรับ UX, ทำ pitch</t>
        </is>
      </c>
      <c r="D19" s="15" t="inlineStr">
        <is>
          <t>5-minute demo + ROI hypothesis</t>
        </is>
      </c>
      <c r="E19" s="15" t="inlineStr">
        <is>
          <t>ให้ agent สร้าง README, test report, executive brief</t>
        </is>
      </c>
      <c r="F19" s="15" t="inlineStr">
        <is>
          <t>ผู้ใช้จริงทดลองและยืนยัน baseline/target</t>
        </is>
      </c>
    </row>
    <row r="20" ht="68" customHeight="1">
      <c r="B20" s="15" t="inlineStr">
        <is>
          <t>4 — Pilot Gate</t>
        </is>
      </c>
      <c r="C20" s="15" t="inlineStr">
        <is>
          <t>Security, privacy, integration, monitoring, rollback</t>
        </is>
      </c>
      <c r="D20" s="15" t="inlineStr">
        <is>
          <t>Pilot charter 4-8 สัปดาห์</t>
        </is>
      </c>
      <c r="E20" s="15" t="inlineStr">
        <is>
          <t>สร้าง implementation plan production แยก repository/worktree</t>
        </is>
      </c>
      <c r="F20" s="15" t="inlineStr">
        <is>
          <t>IT/Security/Data/Clinical owner อนุมัติตามความเสี่ยง</t>
        </is>
      </c>
    </row>
    <row r="23" ht="23" customHeight="1">
      <c r="B23" s="3" t="inlineStr">
        <is>
          <t>Wave logic</t>
        </is>
      </c>
    </row>
    <row r="25">
      <c r="B25" s="15" t="inlineStr">
        <is>
          <t>Wave 1 — Quick win</t>
        </is>
      </c>
      <c r="C25" s="15" t="inlineStr">
        <is>
          <t>Priority ≥ 4.20</t>
        </is>
      </c>
      <c r="D25" s="15" t="inlineStr">
        <is>
          <t>Prototype จากข้อมูลจำลอง; workflow ความเสี่ยงต่ำ-กลาง; KPI วัดเร็ว</t>
        </is>
      </c>
    </row>
    <row r="26">
      <c r="B26" s="15" t="inlineStr">
        <is>
          <t>Wave 2 — Validate</t>
        </is>
      </c>
      <c r="C26" s="15" t="inlineStr">
        <is>
          <t>3.60–4.19</t>
        </is>
      </c>
      <c r="D26" s="15" t="inlineStr">
        <is>
          <t>ต้อง validate data/rules หรือมีเอกสาร/หลายฝ่ายเพิ่ม</t>
        </is>
      </c>
    </row>
    <row r="27">
      <c r="B27" s="15" t="inlineStr">
        <is>
          <t>Wave 3 — Foundation</t>
        </is>
      </c>
      <c r="C27" s="15" t="inlineStr">
        <is>
          <t>&lt; 3.60</t>
        </is>
      </c>
      <c r="D27" s="15" t="inlineStr">
        <is>
          <t>แพลตฟอร์มองค์กร/clinical/high integration; ต้องออกแบบ governance ก่อน</t>
        </is>
      </c>
    </row>
  </sheetData>
  <mergeCells count="5">
    <mergeCell ref="B23:K23"/>
    <mergeCell ref="B14:K14"/>
    <mergeCell ref="B2:K2"/>
    <mergeCell ref="B3:K3"/>
    <mergeCell ref="B5:K5"/>
  </mergeCells>
  <pageMargins left="0.25" right="0.25" top="0.5" bottom="0.5" header="0.5" footer="0.5"/>
  <pageSetup fitToHeight="0" fitToWidth="1"/>
  <headerFooter>
    <oddHeader/>
    <oddFooter>&amp;C&amp;8 &amp;K7F7F7FVejthani × Google Antigravity | Generated 20 Sep 2026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3" customWidth="1" min="3" max="3"/>
    <col width="35" customWidth="1" min="4" max="4"/>
    <col width="42" customWidth="1" min="5" max="5"/>
    <col width="42" customWidth="1" min="6" max="6"/>
  </cols>
  <sheetData>
    <row r="2" ht="34" customHeight="1">
      <c r="B2" s="1" t="inlineStr">
        <is>
          <t>Safety, Privacy &amp; Governance</t>
        </is>
      </c>
    </row>
    <row r="3" ht="28" customHeight="1">
      <c r="B3" s="2" t="inlineStr">
        <is>
          <t>ข้อกำหนดขั้นต่ำสำหรับ Prototype และ Gate ก่อนเชื่อมข้อมูล/ระบบจริง</t>
        </is>
      </c>
    </row>
    <row r="5" ht="23" customHeight="1">
      <c r="B5" s="3" t="inlineStr">
        <is>
          <t>Golden rules</t>
        </is>
      </c>
    </row>
    <row r="7" ht="40" customHeight="1">
      <c r="B7" s="12" t="inlineStr">
        <is>
          <t>ข้อมูล Workshop</t>
        </is>
      </c>
      <c r="C7" s="13" t="inlineStr">
        <is>
          <t>ใช้ข้อมูลสังเคราะห์หรือ de-identified เท่านั้น; ห้ามนำ PHI/PII, เอกสารประกันจริง, เวชระเบียน, ภาพผู้ป่วย หรือ credential ใส่เครื่องมือโดยไม่ได้รับอนุมัติ</t>
        </is>
      </c>
    </row>
    <row r="8" ht="40" customHeight="1">
      <c r="B8" s="12" t="inlineStr">
        <is>
          <t>Human-in-the-loop</t>
        </is>
      </c>
      <c r="C8" s="13" t="inlineStr">
        <is>
          <t>AI ร่าง/จัดลำดับ/ตรวจรายการได้ แต่ห้ามส่งข้อความ อนุมัติสิทธิ์ ออกเอกสารทางการแพทย์ สั่งซื้อ จ่ายเงิน หรือให้คำแนะนำคลินิกโดยอัตโนมัติ</t>
        </is>
      </c>
    </row>
    <row r="9" ht="40" customHeight="1">
      <c r="B9" s="12" t="inlineStr">
        <is>
          <t>Traceability</t>
        </is>
      </c>
      <c r="C9" s="13" t="inlineStr">
        <is>
          <t>ทุก extraction/summary ต้องเก็บ source, page/field, prompt/model version, เวลา, ผู้ตรวจ และการแก้ไข</t>
        </is>
      </c>
    </row>
    <row r="10" ht="40" customHeight="1">
      <c r="B10" s="12" t="inlineStr">
        <is>
          <t>Least privilege</t>
        </is>
      </c>
      <c r="C10" s="13" t="inlineStr">
        <is>
          <t>Agent/connector เข้าถึงเฉพาะ folder/API ที่จำเป็น; แยก dev/test/prod; ห้ามฝัง key ใน code</t>
        </is>
      </c>
    </row>
    <row r="11" ht="40" customHeight="1">
      <c r="B11" s="12" t="inlineStr">
        <is>
          <t>Failure safe</t>
        </is>
      </c>
      <c r="C11" s="13" t="inlineStr">
        <is>
          <t>เมื่อข้อมูลไม่ครบ confidence ต่ำ หรือ rule ขัดกัน ให้หยุดและส่งต่อมนุษย์ ไม่เดาหรือเติมข้อมูล</t>
        </is>
      </c>
    </row>
    <row r="12" ht="40" customHeight="1">
      <c r="B12" s="12" t="inlineStr">
        <is>
          <t>Measurement</t>
        </is>
      </c>
      <c r="C12" s="13" t="inlineStr">
        <is>
          <t>กำหนด baseline, target, owner และ harm metric; Pilot ต้องวัดทั้งประโยชน์ ความผิดพลาด และผลกระทบต่อผู้ใช้</t>
        </is>
      </c>
    </row>
    <row r="15" ht="23" customHeight="1">
      <c r="B15" s="3" t="inlineStr">
        <is>
          <t>Risk tiers and required gates</t>
        </is>
      </c>
    </row>
    <row r="16">
      <c r="B16" s="29" t="inlineStr">
        <is>
          <t>Risk</t>
        </is>
      </c>
      <c r="C16" s="29" t="inlineStr">
        <is>
          <t>ตัวอย่างใน Portfolio</t>
        </is>
      </c>
      <c r="D16" s="29" t="inlineStr">
        <is>
          <t>Prototype requirement</t>
        </is>
      </c>
      <c r="E16" s="29" t="inlineStr">
        <is>
          <t>ก่อน Pilot</t>
        </is>
      </c>
      <c r="F16" s="29" t="inlineStr">
        <is>
          <t>ก่อน Production</t>
        </is>
      </c>
    </row>
    <row r="17" ht="65" customHeight="1">
      <c r="B17" s="15" t="inlineStr">
        <is>
          <t>Low</t>
        </is>
      </c>
      <c r="C17" s="15" t="inlineStr">
        <is>
          <t>งานธุรการรวมยอด/ตารางเวร</t>
        </is>
      </c>
      <c r="D17" s="15" t="inlineStr">
        <is>
          <t>Synthetic data + validation</t>
        </is>
      </c>
      <c r="E17" s="15" t="inlineStr">
        <is>
          <t>Owner UAT + access control</t>
        </is>
      </c>
      <c r="F17" s="15" t="inlineStr">
        <is>
          <t>IT owner + backup/monitoring</t>
        </is>
      </c>
    </row>
    <row r="18" ht="65" customHeight="1">
      <c r="B18" s="15" t="inlineStr">
        <is>
          <t>Medium</t>
        </is>
      </c>
      <c r="C18" s="15" t="inlineStr">
        <is>
          <t>CX, Facilities, Residence, Kitchen, internal analytics</t>
        </is>
      </c>
      <c r="D18" s="15" t="inlineStr">
        <is>
          <t>De-identify + audit + no auto-send</t>
        </is>
      </c>
      <c r="E18" s="15" t="inlineStr">
        <is>
          <t>Privacy/security review + user UAT</t>
        </is>
      </c>
      <c r="F18" s="15" t="inlineStr">
        <is>
          <t>RBAC, logging, retention, incident plan</t>
        </is>
      </c>
    </row>
    <row r="19" ht="65" customHeight="1">
      <c r="B19" s="15" t="inlineStr">
        <is>
          <t>High</t>
        </is>
      </c>
      <c r="C19" s="15" t="inlineStr">
        <is>
          <t>Insurance, Patient Access, Guarantee, Referral, Data Governance</t>
        </is>
      </c>
      <c r="D19" s="15" t="inlineStr">
        <is>
          <t>Synthetic docs + human approval + source trace</t>
        </is>
      </c>
      <c r="E19" s="15" t="inlineStr">
        <is>
          <t>DPIA/risk review, legal/data owner, security test</t>
        </is>
      </c>
      <c r="F19" s="15" t="inlineStr">
        <is>
          <t>Formal validation, integration controls, monitoring, rollback</t>
        </is>
      </c>
    </row>
    <row r="20" ht="65" customHeight="1">
      <c r="B20" s="15" t="inlineStr">
        <is>
          <t>Very High</t>
        </is>
      </c>
      <c r="C20" s="15" t="inlineStr">
        <is>
          <t>Clinical Pharmacy / clinical decision support</t>
        </is>
      </c>
      <c r="D20" s="15" t="inlineStr">
        <is>
          <t>Closed approved sources; no real dosing/diagnosis; pharmacist review</t>
        </is>
      </c>
      <c r="E20" s="15" t="inlineStr">
        <is>
          <t>Clinical governance, safety validation, bias/error testing</t>
        </is>
      </c>
      <c r="F20" s="15" t="inlineStr">
        <is>
          <t>Regulatory/legal review, ongoing surveillance, clear accountability</t>
        </is>
      </c>
    </row>
    <row r="23" ht="23" customHeight="1">
      <c r="B23" s="3" t="inlineStr">
        <is>
          <t>Production checklist</t>
        </is>
      </c>
    </row>
    <row r="25" ht="22" customHeight="1">
      <c r="B25" t="inlineStr">
        <is>
          <t>☐</t>
        </is>
      </c>
      <c r="C25" s="17" t="inlineStr">
        <is>
          <t>Business owner และ process owner ลงนาม</t>
        </is>
      </c>
    </row>
    <row r="26" ht="22" customHeight="1">
      <c r="B26" t="inlineStr">
        <is>
          <t>☐</t>
        </is>
      </c>
      <c r="C26" s="17" t="inlineStr">
        <is>
          <t>Data owner อนุมัติ source, purpose, retention และ access</t>
        </is>
      </c>
    </row>
    <row r="27" ht="22" customHeight="1">
      <c r="B27" t="inlineStr">
        <is>
          <t>☐</t>
        </is>
      </c>
      <c r="C27" s="17" t="inlineStr">
        <is>
          <t>Security review: secrets, dependency, vulnerability, logging, backup</t>
        </is>
      </c>
    </row>
    <row r="28" ht="22" customHeight="1">
      <c r="B28" t="inlineStr">
        <is>
          <t>☐</t>
        </is>
      </c>
      <c r="C28" s="17" t="inlineStr">
        <is>
          <t>Clinical/Quality review สำหรับเนื้อหาสุขภาพ</t>
        </is>
      </c>
    </row>
    <row r="29" ht="22" customHeight="1">
      <c r="B29" t="inlineStr">
        <is>
          <t>☐</t>
        </is>
      </c>
      <c r="C29" s="17" t="inlineStr">
        <is>
          <t>Legal/Privacy review และสัญญา vendor/API</t>
        </is>
      </c>
    </row>
    <row r="30" ht="22" customHeight="1">
      <c r="B30" t="inlineStr">
        <is>
          <t>☐</t>
        </is>
      </c>
      <c r="C30" s="17" t="inlineStr">
        <is>
          <t>Acceptance + adversarial/failure tests ผ่าน</t>
        </is>
      </c>
    </row>
    <row r="31" ht="22" customHeight="1">
      <c r="B31" t="inlineStr">
        <is>
          <t>☐</t>
        </is>
      </c>
      <c r="C31" s="17" t="inlineStr">
        <is>
          <t>Monitoring dashboard, incident response และ rollback พร้อม</t>
        </is>
      </c>
    </row>
    <row r="32" ht="22" customHeight="1">
      <c r="B32" t="inlineStr">
        <is>
          <t>☐</t>
        </is>
      </c>
      <c r="C32" s="17" t="inlineStr">
        <is>
          <t>ROI baseline และ Pilot evaluation design ได้รับการยืนยัน</t>
        </is>
      </c>
    </row>
  </sheetData>
  <mergeCells count="19">
    <mergeCell ref="C25:K25"/>
    <mergeCell ref="C10:K10"/>
    <mergeCell ref="C9:K9"/>
    <mergeCell ref="B15:K15"/>
    <mergeCell ref="C31:K31"/>
    <mergeCell ref="C12:K12"/>
    <mergeCell ref="B5:K5"/>
    <mergeCell ref="C11:K11"/>
    <mergeCell ref="C27:K27"/>
    <mergeCell ref="C8:K8"/>
    <mergeCell ref="B3:K3"/>
    <mergeCell ref="C32:K32"/>
    <mergeCell ref="C7:K7"/>
    <mergeCell ref="C28:K28"/>
    <mergeCell ref="B2:K2"/>
    <mergeCell ref="C30:K30"/>
    <mergeCell ref="B23:K23"/>
    <mergeCell ref="C26:K26"/>
    <mergeCell ref="C29:K29"/>
  </mergeCells>
  <pageMargins left="0.25" right="0.25" top="0.5" bottom="0.5" header="0.5" footer="0.5"/>
  <pageSetup fitToHeight="0" fitToWidth="1"/>
  <headerFooter>
    <oddHeader/>
    <oddFooter>&amp;C&amp;8 &amp;K7F7F7FVejthani × Google Antigravity | Generated 20 Sep 2026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I23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7" customWidth="1" min="3" max="3"/>
    <col width="43" customWidth="1" min="4" max="4"/>
    <col width="72" customWidth="1" min="5" max="5"/>
    <col width="16" customWidth="1" min="6" max="6"/>
  </cols>
  <sheetData>
    <row r="2" ht="34" customHeight="1">
      <c r="B2" s="1" t="inlineStr">
        <is>
          <t>Sources &amp; Assumptions</t>
        </is>
      </c>
    </row>
    <row r="3" ht="28" customHeight="1">
      <c r="B3" s="2" t="inlineStr">
        <is>
          <t>แหล่งข้อมูลที่ใช้กำหนดบริบท ความสามารถของ Antigravity และข้อกำกับ AI ด้านสุขภาพ</t>
        </is>
      </c>
    </row>
    <row r="5" ht="23" customHeight="1">
      <c r="B5" s="3" t="inlineStr">
        <is>
          <t>Sources</t>
        </is>
      </c>
    </row>
    <row r="6">
      <c r="B6" s="28" t="inlineStr">
        <is>
          <t>#</t>
        </is>
      </c>
      <c r="C6" s="28" t="inlineStr">
        <is>
          <t>Source</t>
        </is>
      </c>
      <c r="D6" s="28" t="inlineStr">
        <is>
          <t>ใช้ประกอบ</t>
        </is>
      </c>
      <c r="E6" s="28" t="inlineStr">
        <is>
          <t>URL / Reference</t>
        </is>
      </c>
      <c r="F6" s="28" t="inlineStr">
        <is>
          <t>เข้าถึงเมื่อ</t>
        </is>
      </c>
    </row>
    <row r="7" ht="44" customHeight="1">
      <c r="B7" s="15" t="inlineStr">
        <is>
          <t>1</t>
        </is>
      </c>
      <c r="C7" s="15" t="inlineStr">
        <is>
          <t>ไฟล์รายชื่อผู้เข้าอบรม 2 ไฟล์ที่แนบ</t>
        </is>
      </c>
      <c r="D7" s="15" t="inlineStr">
        <is>
          <t>ชื่อ ตำแหน่ง งานที่รับผิดชอบ ประสบการณ์ AI และสิ่งที่อยากเรียนรู้</t>
        </is>
      </c>
      <c r="E7" s="15" t="inlineStr">
        <is>
          <t>ไฟล์แนบในบทสนทนา</t>
        </is>
      </c>
      <c r="F7" s="15" t="inlineStr">
        <is>
          <t>20 ก.ย. 2026</t>
        </is>
      </c>
    </row>
    <row r="8" ht="44" customHeight="1">
      <c r="B8" s="15" t="inlineStr">
        <is>
          <t>2</t>
        </is>
      </c>
      <c r="C8" s="15" t="inlineStr">
        <is>
          <t>Google Antigravity Docs — Overview/Home</t>
        </is>
      </c>
      <c r="D8" s="15" t="inlineStr">
        <is>
          <t>ความสามารถ agent orchestration, file/system/web/Chrome, MCP, skills และ artifacts</t>
        </is>
      </c>
      <c r="E8" s="15" t="inlineStr">
        <is>
          <t>https://antigravity.google/docs/overview/</t>
        </is>
      </c>
      <c r="F8" s="15" t="inlineStr">
        <is>
          <t>20 ก.ย. 2026</t>
        </is>
      </c>
    </row>
    <row r="9" ht="44" customHeight="1">
      <c r="B9" s="15" t="inlineStr">
        <is>
          <t>3</t>
        </is>
      </c>
      <c r="C9" s="15" t="inlineStr">
        <is>
          <t>Google Antigravity Docs — Skills</t>
        </is>
      </c>
      <c r="D9" s="15" t="inlineStr">
        <is>
          <t>โครงสร้าง reusable Skills และ progressive disclosure</t>
        </is>
      </c>
      <c r="E9" s="15" t="inlineStr">
        <is>
          <t>https://antigravity.google/docs/skills/</t>
        </is>
      </c>
      <c r="F9" s="15" t="inlineStr">
        <is>
          <t>20 ก.ย. 2026</t>
        </is>
      </c>
    </row>
    <row r="10" ht="44" customHeight="1">
      <c r="B10" s="15" t="inlineStr">
        <is>
          <t>4</t>
        </is>
      </c>
      <c r="C10" s="15" t="inlineStr">
        <is>
          <t>Google Antigravity Docs — Artifacts</t>
        </is>
      </c>
      <c r="D10" s="15" t="inlineStr">
        <is>
          <t>Implementation plans, code diffs, diagrams และ browser recordings</t>
        </is>
      </c>
      <c r="E10" s="15" t="inlineStr">
        <is>
          <t>https://antigravity.google/docs/artifacts/</t>
        </is>
      </c>
      <c r="F10" s="15" t="inlineStr">
        <is>
          <t>20 ก.ย. 2026</t>
        </is>
      </c>
    </row>
    <row r="11" ht="44" customHeight="1">
      <c r="B11" s="15" t="inlineStr">
        <is>
          <t>5</t>
        </is>
      </c>
      <c r="C11" s="15" t="inlineStr">
        <is>
          <t>Vejthani International Hospital Fact Sheet</t>
        </is>
      </c>
      <c r="D11" s="15" t="inlineStr">
        <is>
          <t>บริบทผู้ป่วยมากกว่า 300,000 คน/ปี และผู้ป่วยนานาชาติมากกว่า 100 ประเทศ</t>
        </is>
      </c>
      <c r="E11" s="15" t="inlineStr">
        <is>
          <t>https://www.vejthani.com/about-us/fact-sheet/</t>
        </is>
      </c>
      <c r="F11" s="15" t="inlineStr">
        <is>
          <t>20 ก.ย. 2026</t>
        </is>
      </c>
    </row>
    <row r="12" ht="44" customHeight="1">
      <c r="B12" s="15" t="inlineStr">
        <is>
          <t>6</t>
        </is>
      </c>
      <c r="C12" s="15" t="inlineStr">
        <is>
          <t>Vejthani International Patients Services</t>
        </is>
      </c>
      <c r="D12" s="15" t="inlineStr">
        <is>
          <t>บริการ pre-arrival, appointment, transport, visa, repatriation และล่ามหลายภาษา</t>
        </is>
      </c>
      <c r="E12" s="15" t="inlineStr">
        <is>
          <t>https://www.vejthani.com/patient-services/hospital-services-facilities/international-service-center/</t>
        </is>
      </c>
      <c r="F12" s="15" t="inlineStr">
        <is>
          <t>20 ก.ย. 2026</t>
        </is>
      </c>
    </row>
    <row r="13" ht="44" customHeight="1">
      <c r="B13" s="15" t="inlineStr">
        <is>
          <t>7</t>
        </is>
      </c>
      <c r="C13" s="15" t="inlineStr">
        <is>
          <t>WHO Ethics and Governance of AI for Health</t>
        </is>
      </c>
      <c r="D13" s="15" t="inlineStr">
        <is>
          <t>หลัก human autonomy, safety, transparency, accountability, equity และ sustainability</t>
        </is>
      </c>
      <c r="E13" s="15" t="inlineStr">
        <is>
          <t>https://www.who.int/publications/i/item/9789240029200</t>
        </is>
      </c>
      <c r="F13" s="15" t="inlineStr">
        <is>
          <t>20 ก.ย. 2026</t>
        </is>
      </c>
    </row>
    <row r="14" ht="44" customHeight="1">
      <c r="B14" s="15" t="inlineStr">
        <is>
          <t>8</t>
        </is>
      </c>
      <c r="C14" s="15" t="inlineStr">
        <is>
          <t>WHO guidance on large multi-modal models</t>
        </is>
      </c>
      <c r="D14" s="15" t="inlineStr">
        <is>
          <t>Human oversight, data privacy, validation และ accountability สำหรับ AI สุขภาพ</t>
        </is>
      </c>
      <c r="E14" s="15" t="inlineStr">
        <is>
          <t>https://iris.who.int/bitstream/handle/10665/375579/9789240084759-eng.pdf?sequence=1</t>
        </is>
      </c>
      <c r="F14" s="15" t="inlineStr">
        <is>
          <t>20 ก.ย. 2026</t>
        </is>
      </c>
    </row>
    <row r="17" ht="23" customHeight="1">
      <c r="B17" s="3" t="inlineStr">
        <is>
          <t>Assumptions and limitations</t>
        </is>
      </c>
    </row>
    <row r="19" ht="36" customHeight="1">
      <c r="B19" s="27" t="inlineStr">
        <is>
          <t>ข้อเสนอทั้งหมดเป็น Hypothesis จากรายละเอียดหน้าที่ในไฟล์ ไม่ใช่ข้อยืนยันว่าระบบ/ข้อมูล/งบประมาณปัจจุบันของโรงพยาบาลพร้อมแล้ว</t>
        </is>
      </c>
    </row>
    <row r="20" ht="36" customHeight="1">
      <c r="B20" s="27" t="inlineStr">
        <is>
          <t>คะแนน Impact, Feasibility, Data Readiness และ Wave เป็นการจัดลำดับเริ่มต้น ควรทำ discovery interview 30–45 นาทีต่อเจ้าของงานก่อนล็อก scope</t>
        </is>
      </c>
    </row>
    <row r="21" ht="36" customHeight="1">
      <c r="B21" s="27" t="inlineStr">
        <is>
          <t>ROI Calculator ไม่มีการใส่ตัวเลขสมมติ เพื่อหลีกเลี่ยงการสร้างผลประโยชน์ที่ไม่มีหลักฐาน; ต้องกรอก baseline/target ที่ Finance และ Process Owner ยืนยัน</t>
        </is>
      </c>
    </row>
    <row r="22" ht="36" customHeight="1">
      <c r="B22" s="27" t="inlineStr">
        <is>
          <t>Google Antigravity เป็น agentic development platform สำหรับสร้าง/ทดสอบ software; ระบบ production ยังต้องมี hosting, identity, database, monitoring และ integration ที่องค์กรอนุมัติ</t>
        </is>
      </c>
    </row>
    <row r="23" ht="36" customHeight="1">
      <c r="B23" s="27" t="inlineStr">
        <is>
          <t>สำหรับ clinical/insurance/payer use case ต้องประเมินกฎหมาย ความเป็นส่วนตัว ความปลอดภัย และความรับผิดชอบเฉพาะบริบทก่อนใช้งานจริง</t>
        </is>
      </c>
    </row>
  </sheetData>
  <mergeCells count="9">
    <mergeCell ref="B21:I21"/>
    <mergeCell ref="B2:I2"/>
    <mergeCell ref="B20:I20"/>
    <mergeCell ref="B3:I3"/>
    <mergeCell ref="B5:I5"/>
    <mergeCell ref="B19:I19"/>
    <mergeCell ref="B22:I22"/>
    <mergeCell ref="B23:I23"/>
    <mergeCell ref="B17:I1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</hyperlinks>
  <pageMargins left="0.25" right="0.25" top="0.5" bottom="0.5" header="0.5" footer="0.5"/>
  <pageSetup fitToHeight="0" fitToWidth="1"/>
  <headerFooter>
    <oddHeader/>
    <oddFooter>&amp;C&amp;8 &amp;K7F7F7FVejthani × Google Antigravity | Generated 20 Sep 2026</oddFooter>
    <evenHeader/>
    <evenFooter/>
    <firstHeader/>
    <firstFooter/>
  </headerFooter>
  <tableParts count="1"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Perplexity AI</dc:creator>
  <dc:title xmlns:dc="http://purl.org/dc/elements/1.1/">Vejthani Google Antigravity AI App Portfolio</dc:title>
  <dc:description xmlns:dc="http://purl.org/dc/elements/1.1/">Workshop-ready portfolio, build briefs, ROI calculator, roadmap and governance.</dc:description>
  <dc:subject xmlns:dc="http://purl.org/dc/elements/1.1/">Personalized AI app ideas for 17 Vejthani Hospital participants</dc:subject>
  <dcterms:created xmlns:dcterms="http://purl.org/dc/terms/" xmlns:xsi="http://www.w3.org/2001/XMLSchema-instance" xsi:type="dcterms:W3CDTF">2026-09-20T02:36:18Z</dcterms:created>
  <dcterms:modified xmlns:dcterms="http://purl.org/dc/terms/" xmlns:xsi="http://www.w3.org/2001/XMLSchema-instance" xsi:type="dcterms:W3CDTF">2026-09-20T02:40:32Z</dcterms:modified>
</cp:coreProperties>
</file>